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mal_2\MSc_Medical_Informatics\research report\results\results_n2c2\"/>
    </mc:Choice>
  </mc:AlternateContent>
  <xr:revisionPtr revIDLastSave="0" documentId="13_ncr:1_{1A50888D-B239-4BAE-8DFA-3A8E858817F8}" xr6:coauthVersionLast="47" xr6:coauthVersionMax="47" xr10:uidLastSave="{00000000-0000-0000-0000-000000000000}"/>
  <bookViews>
    <workbookView xWindow="-110" yWindow="-110" windowWidth="19420" windowHeight="10300" xr2:uid="{00000000-000D-0000-FFFF-FFFF00000000}"/>
  </bookViews>
  <sheets>
    <sheet name="mismatches_with_annotations_gpt" sheetId="1" r:id="rId1"/>
    <sheet name="criteria" sheetId="2" r:id="rId2"/>
    <sheet name="Sheet1" sheetId="3" r:id="rId3"/>
  </sheets>
  <definedNames>
    <definedName name="_xlnm._FilterDatabase" localSheetId="0" hidden="1">mismatches_with_annotations_gpt!$A$1:$W$55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2" i="1"/>
</calcChain>
</file>

<file path=xl/sharedStrings.xml><?xml version="1.0" encoding="utf-8"?>
<sst xmlns="http://schemas.openxmlformats.org/spreadsheetml/2006/main" count="1044" uniqueCount="423">
  <si>
    <t>index</t>
  </si>
  <si>
    <t>patient_id</t>
  </si>
  <si>
    <t>criterion</t>
  </si>
  <si>
    <t>Unnamed: 3</t>
  </si>
  <si>
    <t>criterion.1</t>
  </si>
  <si>
    <t>rationale</t>
  </si>
  <si>
    <t>medications</t>
  </si>
  <si>
    <t>is_met</t>
  </si>
  <si>
    <t>true_label</t>
  </si>
  <si>
    <t>assessed_category</t>
  </si>
  <si>
    <t>assessor_confidence</t>
  </si>
  <si>
    <t>assessor_reason</t>
  </si>
  <si>
    <t>assessor_evidence_ids_x</t>
  </si>
  <si>
    <t>note</t>
  </si>
  <si>
    <t>human2_confidence</t>
  </si>
  <si>
    <t>human2_note</t>
  </si>
  <si>
    <t>MAJOR-DIABETES</t>
  </si>
  <si>
    <t>The patient has a history of diabetes mellitus and is insulin-dependent. Additionally, she has multiple medical problems including congestive heart failure, which can be associated with diabetes complications. However, there is no direct mention of major diabetes-related complications such as amputation, kidney damage, retinopathy, nephropathy, or neuropathy in the clinical notes. The patient's diabetes is described as being under excellent control, which suggests that she may not currently have major complications. Therefore, based on the provided information, it does not appear that she meets the inclusion criterion for major diabetes-related complications.</t>
  </si>
  <si>
    <t>['diabeta', 'pravachol', 'atorvastatin', 'lopressor', 'procardia', 'capoten', 'insulin', 'gemfibrozil', 'humalog', 'lantus', 'toprol xl', 'omeprazole', 'fish oil']</t>
  </si>
  <si>
    <t>extraction_error</t>
  </si>
  <si>
    <t>high</t>
  </si>
  <si>
    <t>The model rationale incorrectly concludes that the patient does not meet the criterion for major diabetes-related complications. Evidence from chroma_id '115_3_0' indicates the patient has a history of severe squamous cell carcinoma requiring skin grafting, which could be considered a major skin condition related to diabetes. Additionally, the patient has congestive heart failure (chroma_id '115_2_0'), which can be associated with diabetes complications. The model failed to extract and consider these relevant complications.</t>
  </si>
  <si>
    <t>["115_3_0", "115_2_0"]</t>
  </si>
  <si>
    <t>partially_complete</t>
  </si>
  <si>
    <t>record date : 2107 - 10 - 24 toole county hospital cardiology 871 westerdale drive werner, nancy west liberty, al 54854 2 - 05 - 09 routine visit taking diabeta 10 b. i. d. as well as other medications and has now added pravachol 40 mg. at bedtime. she is tolerating the pravachol well. blood sugars at home, morning and at bedtime, are in the 130 - 155 range. no side effects of the medication. no evidence of hypoglycemia. no polyuria, polydipsia. trying to walk on a treadmill inside the house 20 minutes at a time several times a week. trying to watch diet. physical exam : blood pressure : 150 / 86, 148 / 84. pulse 78. perrl. carotids 1 +, no bruits. no peripheral edema. assessment : blood pressure adequately controlled. sounds like diabetes is moderately well controlled. check hemoglobin a1 today. she will call me for these results in 10 days. adjust diabeta if necessary. return here in three months. _ _ _ _ _ _ _ _ _ _ _ _ _ _ _ _ _ _ _ _ _ _ _ _ _ paul d. quaglia, m. d. mzy : kx : 7901 dd : 2 - 15 - 09
******************
record date : 2114 - 11 - 26 november 26, 2114 wanda flaherty, m. d. saint annes hospital 98 greeley street sturgis, al 52345 re : nancy werner mrn 57274347 dear wanda : nancy werner is doing better than the last time i saw her in may in that the triglycerides have decreased to 460, pretty much where they had usually been. the ldl is now quite low at 93 but the hdl has declined to 34. all in all, the results are compatible with better glucose control and the action of atorvastatin 10 mg is likely responsible for the very low ldl but on the other hand discontinuation of the gemfibrozil probably lowered the hdl. the effect on triglycerides of the low dose of the atorvastatin is minimal and overall the triglyceride lowering effect is overrated except at the high dose of 80 mg. even at 80 mg atorvastatin could not compare to the fibrates in the triglyceride lowering action. her current medications are atorvastatin 10 mg, lopressor 25 mg, procardia 60 mg b. i. d., capoten 50 mg t. i. d., and insulin 22 units a. m. labs : cholesterol 220, tg. 460, hdl 34, ldl 93. blood pressure is 120 / 80. i restarted the gemfibrozil, 600 mg b. i. d. and left her on the atorvastatin 10 mg. although i don't expect any side effects with this low dose of atorvastatin and gemfibrozil i warned mrs. werner and her husband that if she should have generalized muscle aches or weakness she should contact us and discontinue medication. i think that aggressive therapy is warranted in mrs. werner. page 2 nancy werner november 26, 2114 please feel free to call or e - mail me if you have questions. best wishes. sincerely, isaac q. whitman, m. d. / quiggle * * * * * * * * approved but not reviewed by attending provider * * * * * * * *
******************
record date : 2120 - 07 - 12 edvisit ^ 57274347 ^ werner, nancy ^ 07 / 12 / 20 ^ williamson, paul i saw this patient with the resident. resident's history reviewed. patient interviewed and examined by me. history of present illness : this 78 - year - old woman comes in with shortness of breath, midabdominal pain, and left hip pain for 2 weeks. review of systems : includes some constipation and decreased appetite. she has had some trauma about 10 days ago. she was seen at the ihle central clinic earlier today. the emergency department was overcrowded, and she was in the waiting room for almost 6 hours. physical examination : she is obese with some minimal tenderness around the umbilicus. no bony tenderness. several lesions on the legs. rales at bases. see the written notes for details. disposition : admitted to hospital. condition : satisfactory. diagnosis : congestive heart failure, abdominal pain, diabetes, contusions from falls. _ _ _ _ _ _ _ _ _ _ _ _ _ _ _ _ _ _ _ _ _ _ _ _ _ _ _ _ _ _ williamson, paul m. d. d : 07 / 12 / 20 t : 07 / 13 / 20 dictated by : williamson, paul escription document : 2 - 0605694 bffocus
******************
record date : 2123 - 05 - 01 internal medicine associates pender care center personal data and overall health a 75 - year - old married woman with two adult sons, three granddaughers. was a personnel officer. primary care physician in polson, va is dr. david mccall at 207 - 155 - 2827. reason for visit extended followup, multiple medical problems. problem list ( reviewed ) diabetes mellitus major squamous cell carcinoma of skin major atrial fibrillation major restless leg syndrome major family history risk factors major hyperuricemia major hyperlipidemia major anemia major hypertension major dysthymia major coronary artery disease major hyperhomocysteinemia major permanent pacemaker major health maintenance major problems diabetes mellitus / insulin dependent. saw dr. miles today. dm is under excellent control. he lowered lantus by 5 units. squamous cell carcinoma of skin / status post foot. the patient had to have skin grafting following kohs surgery for severe extensive squamous cell carcinoma on the dorsum of her right foot in 2118. is followed by dr. colleen quinonez in milliken for skin exams. atrial fibrillation tachy brady syndrome now with pacemaker and beta blockade. restless leg syndrome is dependent on daily narcotics for pain control, but has not escalated dose. family history risk factors / high risk colon carcinoma. is up to date on screening. hyperuricemia no symptoms of gout on allopurinol 200 mg daily. hyperlipidemia dr. whiteman left meds the same last week, and told her that he was very pleased with her lipids control. anemia cbc ordered today. hypertension bp has been well - controlled in va, usually in the 128 systolic range. dysthymia / posttraumatic stress disorder. much better after 6 months on the ocean in virginia. i suspect she is feeling better with rate control on meds + pacemaker. coronary artery disease no angina or sob. after exam last november, i asked dr. nielson to see her regarding her rapid vr. he increased beta blocker and she developed what sounds like heart block in va. had a pacemaker placed and has been asymptomatic since then. hyperhomocysteinemia taking folic acid and b vitamins. permanent pacemaker dual chamber pacemaker placed 3 / 23 for bradycardia. p / g model
******************
at bedtime qty : 60 refills : 3 start : 05 / 01 / 2123 fish oil 1000mg po 5 times per day start : 05 / 01 / 2123 humalog sliding scale sc tid start : 6 / 28 / 2122 lantus 55 units sc qhs do not mix with other insulins in same syringe qty : 3 - month supply refills : 3 start : 6 / 28 / 2122 toprol xl 100 mg po qd start : 05 / 01 / 2123 omeprazole 20mg po qd take before meals start : 05 / 01 / 2123 past medical history hospitalized 2115 tch for romi 2120 tch new onset a fib with chf 2120 pcc for atypical pneumonia surgery : appendectomy 2064 c - section x 2 breast biopsies 2090 and 2097 koh's surgery dorsum foot dfci 2118 family history both parents died of sudden death in their 82nd year. brother had scd at 66. mother had breast cancer at 80 as did mother's sister in her 50's. father had hpt, gout and glaucoma. social history patient was born and raised in rural finland. she was hidden by an uncle in a farm house during the war, which was frightening, lonely and phsycially taxing. after liberation, she came to algeria where she met her husband. she was going to school when she married and started her family. she is very happily married and lives in polson, va half the year. habits / risk screening activity level : sedentary smoking status : never smoked alcohol use status : moderate averages 1 drink per week. drug use status : opiates one percocet qhs for restless less syndrome advance directives living will on file with attorney. son is heath care proxy. his name is norman werner at 515 - 562 - 2325. procedures and immunizations urine dip stick negative x 6. review of systems general : chronic fatigue, anxiety and struggling with weight ; in general, feeling much better.. heent : neg except for hearing loss. resp, negative. cor, see problems. gi, negative. gu, negative. gyn, negative. endocr, see problem dm. neuro, negative. mood, stable. skin, see problems. ms, mild oa sxs. physical examination blood pressure 130 / 60 large cuff
******************
weight 204 height 61. 5 general appearance nancy looks well and happy. skin no rashes, anicteric. extensive solar damage with many actinic keratoses heent nc / at, perrl, eomi, o / p clear without erythema or exudates. hearing diminished with cerumin bilaterally neck supple ; carotid upstroke normal without bruits ; no jvd ; thyroid small, smooth, midline and symmetric nodes no palpable lymphadenopathy in cervical, axillary or groin lymph nodes breasts no nodule, lump, skin or nipple change ; axilla negative chest no skeletal abnormalities spine and thorax ; lungs clear to percussion and auscultation cor apical impulse, quiet. s1 and s2 are normal. regular rhythm at 62. no murmur or gallop. abdomen nt / nd, no hsm. no masses rectal exam deferred to gyn. genitalia deferred to gyn extrem no clubbing, cyanosis, edema. palpable pedal pulses. minimal oa changes. foot exam negative selected recent labs 4 / 9 / 23 in va : bun / creat, 56 / 1. 6 k +, 4. 2 a1c, 6. 8 hgb / hct 11. 1 / 32 with normal fe + + studies microalb urine, 0. 7 ( normal ) with alb / creat ratio 35 ( normal &lt; 30 ). assessment and plan see problem related assessment and plans. cbc, tsh, homocysteine disposition return in 3 months or prn. signed electronically by flaherty, wanda h on may 04, 2123</t>
  </si>
  <si>
    <t>complete</t>
  </si>
  <si>
    <t>ADVANCED-CAD</t>
  </si>
  <si>
    <t>The patient is taking multiple medications for cardiovascular disease, including atenolol, lisinopril, and isosorbide mononitrate, which counts as three medications. Additionally, the patient has a history of angina, which is noted as stable, but they are not currently experiencing angina. However, the presence of multiple medications and the history of angina meets the inclusion criterion for advanced CAD, as they fulfill two of the required categories (a and c).</t>
  </si>
  <si>
    <t>['furosemide', 'asa (acetylsalicylic acid)', 'atenolol', 'lisinopril', 'zocor (simvastatin)', 'imdur (isosorbide mononitrate)', 'cardura (doxazosin)']</t>
  </si>
  <si>
    <t>logical_error</t>
  </si>
  <si>
    <t>The model incorrectly concludes that the patient meets the criterion for advanced CAD by counting medications for cardiovascular disease. The criterion specifies medications for CAD, not general cardiovascular disease. The evidence (chroma_id: '119_3_0') shows the patient is taking atenolol, lisinopril, and isosorbide mononitrate, but it is unclear if all are specifically for CAD. Additionally, the patient has stable angina, not current angina, which does not meet the criterion. Thus, the model's rationale is flawed.</t>
  </si>
  <si>
    <t>["119_3_0"]</t>
  </si>
  <si>
    <t>assumption</t>
  </si>
  <si>
    <t>medium</t>
  </si>
  <si>
    <t>record date : 2088 - 05 - 21 patient name : curtis, om ; mrn : 7682941 dictated at : 05 / 21 / 88 by victor r. gomes, m. d. mr. curtis returns with a history of ureteral stones, bph, and dysuria. he has not had any stone passage in the last six months. he has passed some tissue, and had some gross hematuria with his last visit, but has not had any symptoms since then. with his bph, he has not had any significant worsening of his nocturia or daytime frequency. he feels as if he is emptying his bladder well now on the cardura. he did have some dysuria, and dr. geiger gave him a pill which seems to have helped him. his review of systems today is negative. his past medical history is unchanged, and he is continuing with a cholesterol medication, a pill for burning, cardura, and atenolol. on physical examination, his vital signs show him to be well - nourished and well - developed. his respirations are 14. his pulse is regular. a general examination shows his neck to be supple. he is alert and oriented x 3. he has no labored breathing. he has no palpable groin adenopathy. his skin has normal turgor, and his cardiovascular exam shows no jvd. a complete gu examination shows his epididymis to be without masses. a rectal exam shows his anus to be without masses. his scrotum is without lesions. his urethral meatus has no discharge. his prostate has some bph, but no nodularity. his penis has no foreskin lesions. his testes have no masses. his seminal vesicles have no masses. his sphincter tone is normal. an independent review of a urinalysis today is negative. a review of clinical lab testes shows a nuclear matrix protein less than 10 on 11 / 14 / 87. this was done via pcis. a post - void residual today is 14 cc. for his bph, i believe he should continue with cardura 2 mg p. o. q. d. his stone disease is quiescent, and he will let me know if there are any recurrences with symptoms of these. we will consider checking a kub in one year's time. he will let me know if there are any difficulties in the
******************
interim. _ _ _ _ _ _ _ _ _ _ _ _ _ _ _ _ _ _ _ _ _ _ _ _ _ _ _ _ _ _ _ victor r. gomes, m. d. cc : william geiger, m. d., allina medical clinic at hinckley, internal medicine dd : 05 / 21 / 88 dt : 05 / 21 / 88 ul : 30614 : 7550
******************
record date : 2089 - 08 - 24 name : curtis, om mrn : 7682941 he is feeling quite fine today. he has no specific problems to being to my attention. he says that he is having no problems with chest pains whatsoever and that includes with exertion. his breathing has been fine as well. no shortness of breath. otherwise he denies any abdominal pains, joint pains, bowel or bladder difficulties. the remainder of the review of systems is negative in detail. physical exam : on exam, he looks well. skin is clear. heent - perrla. eomi. tms and throat clear. neck supple. no thyromegaly. no lymphadenopathy. lungs are clear. heart is regular rate and rhythm. no murmurs, gallops or rubs. abdomen is soft and nontender. no masses. no hsm. extremities with no edema. neurologically fully intact. assessment and plan : ( 1 ) angina / hypertension / hyperlipidemia. he is doing quite well and very stable. since his cholesterol was in such great shape just a few months ago, no need to recheck here today. ( 2 ) bladder stone. he had this dealt with by dr. gomes of urology. ( 3 ) diabetes mellitus. very stable. check glycosylated hemoglobin. he is up to date on his eye exams. follow - up with me in three months. william v. geiger, m. d. wvg / xin / quilici
******************
record date : 2090 - 07 - 16 name : curtis, om mrn : 7682941 he is feeling great. he is all done with his radiation to the left axilla for metastatic squamous cell cancer. he is following closely with the radiation oncologist and the medical oncologist. he is seeing them both later this month. he has had no problems with chest pains or shortness of breath. all in all, things are going well. physical exam : on exam, no acute distress. lungs are clear. heart is regular rate and rhythm. no murmurs, gallops or rubs. he does have some skin discoloration around the left axilla but i feel no mass. he has a well - healed incision. there is no hair noted in or around the axilla. extremities with no edema. assessment and plan : ( 1 ) cad / hypertension / diabetes mellitus. this is stable. check glycosylated hemoglobin. ( 2 ) metastatic squamous cell cancer. he is being followed closely by oncology for this. follow - up with me in the spring. william v. geiger, m. d. wvg / xin / quilici
******************
record date : 2092 - 03 - 26 reason for visit here for angina / bp / dm check, no chest pains. taking meds without problems. no problems c l axilla ( site of squam cell ca ), has been going to f / u for this. medications asa ( acetylsalicylic acid ) 325mg, 1 tablet ( s ) po qd : take as directed atenolol 100mg, 1 tablet ( s ) po qd : take as directed zocor ( simvastatin ) 10mg, 1 tablet ( s ) po qhs : take as directed cardura ( doxazosin ) 2mg, 1 tablet ( s ) po qd : take as directed imdur ( isosorbide mononit. ( sr ) ) 30mg, 1 tablet ( s ) po qd : take as directed lisinopril 20mg, 1 tablet ( s ) po qd allergies sulfa - unknown problems visual impairment : diplopia due to 6th nn palsy, 2091 angina : stable diabetes mellitus elevated cholesterol hypertension hearing impairment : hearing aids s / p urolithiasis s / p squamous cell cancer : metastatic to l axilla dr. jessup med onc, dr. enright xrt benign prostatic hypertrophy : urinary retenetion vital signs blood pressure 118 / 60 pulse 64 weight 188 lb exam nad lungs : clear cor : rrr ext : no edema / lesions assessment and plan 1. angina / htn - better control c increase of lisinopril to 20mg qd. cont. low na diet. 2. dm - no changes, cont. low fat diet, check hgba1c. 3. squam cell skin ca - saw dr. jeffries and had repeat ct and pet scan that showed no tumor. cont f / u c dr. jeffries. 4. r cranial 6 nn palsy - resolved. follow - up in 3 - 4 months.
******************
record date : 2093 - 04 - 30 reason for visit here for chf / angina / bp / dm check, no chest pains. taking meds without problems. breathing still is fine and no ankle swelling. medications furosemide 20mg, 1 po qd asa ( acetylsalicylic acid ) 325mg tablet take 1 tablet ( s ) po qd, take as directed atenolol 100mg tablet take 1 tablet ( s ) po qd, take as directed lisinopril 20mg tablet take 1 tablet ( s ) po qd zocor ( simvastatin ) 10mg tablet take 1 tablet ( s ) po qhs imdur ( isosorbide mononit. ( sr ) ) 30mg tablet cr 24hr take 1 tablet ( s ) po qd cardura ( doxazosin ) 4mg tablet po qd allergies sulfa - unknown problems angina : stable diabetes mellitus elevated cholesterol hypertension hearing impairment : hearing aids s / p urolithiasis s / p squamous cell cancer : metastatic to l axilla dr. jessup med onc, dr. enright xrt benign prostatic hypertrophy : urinary retenetion visual impairment : diplopia due to 6th nn palsy, 2091 vital signs blood pressure 130 / 60 pulse 68 weight 184 lb exam nad lungs : clear cor : rrr ext : no edema / lesions assessment and plan 1. chf / angina / htn - good control but bp could be a bit better, increase lisinopril to 40mg qd. cont. low na diet. check bun / cr / lytes / bnp. 2. dm - no changes, cont. low fat diet. 3. squam cell skin ca - stable. cont f / u c dr. jeffries. 4. bph - stable. follow - up in 2 months.</t>
  </si>
  <si>
    <t>history of angina is intrepted same as currently experiencing angina</t>
  </si>
  <si>
    <t>The patient has a history of coronary artery disease (CAD) and is currently taking multiple medications to manage her cardiovascular condition. Specifically, she is taking atenolol, imdur, and lisinopril, which are used to treat CAD. Additionally, she has a history of myocardial infarction (MI) as indicated by her previous stent placement and episodes of angina. Therefore, she meets the inclusion criterion for advanced CAD by having at least two of the specified categories: (a) taking 2 or more medications to treat CAD and (b) history of myocardial infarction.</t>
  </si>
  <si>
    <t>['atenolol 100mg po qd', 'ecasa 325mg po qd', 'imdur 30mg po qd', 'lasix 80mg po bid', 'lipitor (atorvastatin) 20mg 1 tablet (s) po qd', 'lisinopril 40mg po qd', 'metformin 500mg 1 tablet (s) po bid', 'tng 0.4 mg 1tab sl q 5 min x 3']</t>
  </si>
  <si>
    <t>The model correctly identifies that the patient meets the criterion for advanced CAD by having two or more of the specified categories. The patient is taking multiple medications for CAD, including atenolol, imdur, and lisinopril, and has a history of myocardial infarction as evidenced by a previous stent placement and episodes of angina (evidence from chroma_id '120_3_0'). This aligns with the criterion definition.</t>
  </si>
  <si>
    <t>["120_3_0"]</t>
  </si>
  <si>
    <t>state. since this was her first episode of prolonged bleeding, will not pursue further w / u at this point. pt given reassurance, and asked to continue to record the dates and duration of her menses. pt denied h / o fibroids or fhx of gyn cancer. 2. cv - pt reports h / o bp's of 160 / 80 in the past. she was 162 / 100 today. she was very reluctant to initiate any bp medicine ( i suggested atenolol 25 mg po qam ), and want to try diet and exercise first. she understands the health risks of htn and knows that it is very common among african americans. will follow this issue closely and readdress at next visit. 3. health maintenance - await pap results. will check cbc, sma7 and lipid panel today. will schedule screening mammogram at next visit. 4. f / u with me in 1 month. - - - - - - - - - - - - - - - - - - - - - - - - - - - - - - - - - - - - - - - - - - - - - - - - - - - - - - - - - - - - - - - - - - - - - - - - - - - - preceptor evans, nelson mac, m. d. note : seen with dr. thorpe and discussed. is perimenopausal, had 15 - day period once. no pap since 2064. bp was 162 / 100. dr. thorpe did a pap, will follow periods. suspect she is hypertensive, but she is reluctant to take meds. discussed risks of htn with her. she will fu with dr. thorpe. * * * * * * * * approved by preceptor evans, nelson mac, m. d. * * * * * * * *
******************
record date : 2075 - 04 - 06 agh emergency dept visit hardy, teresa 360 - 52 - 41 - 3 visit date : 04 / 06 / 75 the patient was seen by myself and dr. yong, emergency medicine resident, on 4 / 06 / 75 at 2030. presenting complaint : the patient is a 55 year - old female complaining of chest pain, shortness of breath x 16 hours. history of present illness : patient has a past medical history of increased cholesterol, hypertension, non - insulin dependent, long history of non - compliance with medications. patient states over the last 4 - 6 weeks she has had right shoulder pain. now complaining of chest pressure that she describes as a weight on her chest since 3 a. m. yesterday. the patient also shortness of breath on exertion. she denies fever or chills, palpations, syncope, abdominal pain, nausea or vomiting. past medical / surgical history : previous urinary tract infections, hypertension, increased cholesterol, hyperglycemia. medications : pain medications allergies : no known drug allergies physical examination : general : well - developed, well - nourished female, awake and alert. vital signs : temperature 96. 3, pulse 84, respirations 16, blood pressure 158 / 67, oxygen saturation 98 %. heent : normocephalic, atraumatic. pupils equal and react to light. neck : supple. lungs : clear. heart : regular rate and rhythm. abdomen : soft. non - tender. positive bowel sounds. extremities : 2 + edema bilaterally. treatment rendered / course in ed : the patient received aspirin and sublingual nitroglycerin and lopressor. patient had chest x - ray which showed mild vascular prominence, with no history of infiltrate. the patient had electrocardiogram showing normal sinus rhythm. st flattening laterally. cpk 393, mb 1. 8, troponin - i 0. final diagnosis : chest pain. cannot rule out ischemic etiology disposition ( including condition upon discharge ) : admit for rule out myocardial infarction and further cardiac workup. condition is satisfactory. _ _ _ _ _ _ _ _ _ _ _ _ _ _ _ _ _ _ _ _ _ _ _ _ _ _ _ _ _ _ _ _ _ _ _ mw631 / 33924 harriet xia, m. d. h
******************
##x82 d : 04 / 06 / 75 t : 04 / 07 / 75 dictated by : harriet xia, m. d. hx82 * * * * * * * * not reviewed by attending physician * * * * * * * *
******************
record date : 2075 - 12 - 03 agh emergency dept visit hardy, teresa 360 - 52 - 41 - 3 visit date : 12 / 03 / 75 this patient was seen concurrently with dr. jeter, whose note i have reviewed and with which i agree. presenting complaint : chest pain. history of presenting complaint : this is a 56 - year - old female who presents with complaints of chest pain. the patient has a known history of coronary artery disease and most recently had a stent placed in april of 2075. the patient had an episode of chest tightness with dyspnea while walking to catch a bus. the patient states that this is unusual for her. she does not usually have discomfort with exertion since having her stent placed. that did resolve with rest and now the patient states she had a just " trace " of chest tightness throughout the day otherwise. the patient came to abbeville general hospital and while walking uphill towards the hospital entrance she had recurrence of her discomfort. the patient is pain - free on arrival to the emergency department. review of systems : as per the written note. past medical history : non - insulin - dependent diabetes mellitus, angioplasty, stent, coronary artery disease, pulmonary hypertension. medications : glyburide, aspirin, lasix, and otherwise as per the written note. allergies : actifed. physical examination : this is a well - developed, well - nourished female in no acute distress. vital signs : temperature 97. 9, pulse 87, respiratory rate 20, blood pressure 161 / 93. oxygen saturation is 98 % on room air. heent : normocephalic, atraumatic. pupils are equal, round, reactive to light and accommodation. extraocular motions are intact. lungs : clear to auscultation bilaterally. no crackles. no wheezes. cardiovascular : regular rate and rhythm. physical exam is otherwise as per the written note. laboratory evaluation : labs are significant for an ekg which shows a sinus rhythm at 87 beats per minute. there are 1 - mm st depressions in leads v5 and v6. this was compared to a prior ekg from july 2075 and was found to be without significant change. the only new change on the ekg is that a previously biphasic t - wave in v4 is now upright. glucose is 215, bun 21, creatinine 1. 1,
******************
sodium 140, potassium 3. 9, chloride 100, bicarb 32, ck 321, mb 3. 1, trauma 0. 07, calcium 9. 4, white count 8. 8, hematocrit 40. 1, platelets 247, pt 11. 3, ptt 25. 0. urinalysis shows no blood, no leukocyte esterase, no nitrates. chest x - ray shows no infiltrate, no pulmonary edema. therapy rendered / course in ed : the patient was seen and evaluated in the emergency department with labs and studies obtained as documented above. the patient's history is concerning for angina. the patient received an aspirin, as well as lopressor, while in the emergency department. she has remained pain - free throughout her period of observation while in the emergency department. the patient will require serial cardiac enzymes due to her most recent chest discomfort being en route to the hospital and if these are unremarkable the patient will require a functional cardiac study such as an exercise tolerance test. final diagnosis : angina. disposition ( including condition upon discharge ) : the patient was admitted to the hospital in satisfactory condition. _ _ _ _ _ _ _ _ _ _ _ _ _ _ _ _ _ _ _ _ _ _ _ _ _ _ _ _ _ _ _ _ _ _ _ jm057 / 26484 latrisha ervin, m. d. le72 d : 12 / 04 / 75 t : 12 / 04 / 75 dictated by : latrisha ervin, m. d. le72 * * * * * * * * not reviewed by attending physician * * * * * * * *
******************
record date : 2078 - 08 - 21 patient name : hardy, teresa [ mrn : 36052413agh ] date of visit : 08 / 21 / 2078 cc : here for f / u htn, dm, cad ; preop for eye surgery 9 / 19 / 2078 hpi : 58 yo f h / o dm t2, hypercholesterolemia, chf, cad s / p angioplasty. she is scheduled fro eye surgery with dr. urbach on 9 / 19 / 2078. she needs an ekg, ua, cbc, sma7. with respects to her cv issues, she is taking imdur 30 mg qd, lisinopril 40 mg qd, lasix 80 bid, and atenolol 100 mg po qd. she is also taking asa 325 mg po qd. i advised her she should stop taking asa 14 days prior to surgery. she denies any cp, sob, nausea, vomiting. re : dm t2, she reports that her fs have been as low as 106 basically in ams, and as high as 300 - 400s in the pms. she is taking glyburide 5 mg 2 tablets qam. last hga1c 13 in june 2078. re : arthritis ; she takes ultram 50 mg q 6 hours occasionally. i instructed patient not to take ultram 14 days prior to eye surgery. had mammogram recently 7 / 28 / 2078 and unremarkable. ros : as above : lost approximately 10 lbs since spring 2078. = = = = = = = = = = = = = = = = problems = = = = = = = = = = = = = = = = coronary artery disease angioplasty chf diabetes hypercholesterolemia abnormal mammogram rotator cuff tear abnormal pap test = = = = = = = = = = = = = = = = medications = = = = = = = = = = = = = = = = atenolol 100mg po qd ecasa 325mg po qd imdur 30mg po qd lasix 80mg po bid lipitor ( atorvastatin ) 20mg 1 tablet ( s ) po qd lisinopril 40mg po qd metformin 500mg 1 tablet ( s ) po bid tng 0. 4 mg 1tab sl q 5 min x 3</t>
  </si>
  <si>
    <t>patient's stent could be from blockages - MI history not clear - wrong assumption</t>
  </si>
  <si>
    <t>ABDOMINAL</t>
  </si>
  <si>
    <t>The patient's clinical notes indicate a history of umbilical hernia surgery (s/p TURP) which qualifies as an intra-abdominal surgery. Therefore, the patient meets the inclusion criterion.</t>
  </si>
  <si>
    <t>['atenolol 25 mg bid', 'coumadin', 'ecotrin 325 mg qd', 'lipitor 20 mg qd', 'lasix 120 mg qd', 'folate 1 mg qd', 'allopurinol 100 mg qd', 'ativan', 'proscar']</t>
  </si>
  <si>
    <t>The model rationale incorrectly identifies umbilical hernia surgery as intra-abdominal surgery. The evidence (chroma_id: '131_2_0') indicates the patient had an umbilical hernia, which is not typically classified as intra-abdominal surgery according to the criterion definition. The model's reasoning is flawed as it misinterprets the type of surgery relevant to the criterion.</t>
  </si>
  <si>
    <t>["131_2_0"]</t>
  </si>
  <si>
    <t>nodules. no change. extremity 1 + edema left, trace right. pulses full. medications lisinopril 20mg po qd disposition and plans 3 months fasting or sooner prn. vn dr. gregory quinlivan with case summary.
******************
record date : 2096 - 06 - 07 chief complaint admission note - internal medicine kenneth weeks - 1205466 history of present illness mr. weeks is a 78 yr. old male who was admitted for further cardiac testing. his pmh includes hypertension, hyperlipidemia, diabetes mellitus, atrial fibrillation and mitral regurgitation. he has been experiencing increasing dyspnea with exertion over the past 5 weeks. he has especially noted this when he climbs stairs or walking up an incline. he also notes this sob when he is walking the golf course. he denies any chest pain or orthopnea, although he states that he has been experiencing some " indigestion " the past few days. it usually occurs in the morning. he was given sublingual nitroglycerin and notes improvement in his symptoms his lasix dose was increased on 4 / 3 / 96 ( from 80 mg to 120 mg ). this increase did help his symptoms a little, but he still felt his exercise capacity had decreased. an echo was done on 4 / 10 which was not significantly changed from 1 / 95. his ef was 74 %, mild mr, dilated la, symmetric lv hypertrophy without any obvious segmental wall motion abnormalities and rvsp 43 mmhg. a sestamibi stress test was done on 5 / 19. the patient exercised for 3 minutes 21 seconds reaching 84 % of predicted hr. his ekg had std avf, v4 - v6. the perfusion scans showed a moderate, reversible mid - distal anterior, septal and apical defect indicative of moderate ischemia. lv function preserved. he was admitted electively today for further evaluation. he arrives to internal medicine chest pain free and hemodynamically stable. allergies nkda past medical history hypertension hyperlipidemia diabetes mellitus - since 2070's atrial fibrillation - for 1 1 / 2 yrs - on chronic coumadin - followed by fwo at vmc gout left olecranon bursitis umbilical hernia benign prostatic hypertrophy - s / p turp 3 / 86 at vmc ( fonseca ) family history mother : died at age 89 - " old age " father : died at age 37 with pneumonia siblings : one brother with dm - s / p amputation for pvd social history married - 4 children lives with his wife retired claims examiner habits et
******************
##oh : none tobacco : quit in 2070's - smoked 1 ppd x 30 yrs diet : poor diet habits exercise : last 5 wks minimal exercise due to doe - prior to that walked 2 miles, 5x / week caffeine : 2 cups of coffee / day review of systems neuro : no recent fever, chills, night sweats, unintentional weight loss / gain neuro : + labrinythitis - on meclizine prn, no lightheadedness pre - syncope or syncope, no ha / sz / cva, no visual or speech changes cardiac : see hpi, denies palpatations endo : + diabetes, no thyroid disease resp : see hpi, no sob at rest, no orthopnea, pnd, no copd / asthma. gi : no constipation. no brbpr. no n / v / d. no hepatitis / jaundice / gall bladder disease. last colonscopy 5 yrs ago heme : + chronically low plts - no work - up done per pt, no bleeding problems, no clotting problems, no dvt / pe ms : + pedal edema, no claudication symptoms physical exam height : 5'9 " weight : 220 ; bs vs : afebrile hr : 60 af bp : 130 / 70 general : well appearing male, sitting in bed, in nad neuro : alert, oriented x 3, speech clear and articulate, cn ii - xii intact. strength 5 / 5 bue and ble, no focal motor or sensory deficits neck : supple, thyroid midline without nodularity, jvp flat, no hjr. carotid pulses 2 +, no bruits noted. no adenopathy appreciated. cor : irreg, irreg, s1, s2, 2 / 6 systolic murmur at apex radiating to axilla, pmi not displaced resp : clear to auscultation bilaterally abd : soft, non - tender, non - distended. no hsm / masses / bruits. bowel sounds in all quads. ext : femoral arteries : 2 + bilaterally, no bruits. lower ext : warm, dry without edema pulses 2 + bilaterally medications at home : ecasa 81 mg qd lisinopril 40 mg bid norvasc 5
******************
record date : 2097 - 01 - 04 cardiology victor medical clinic thomas n ramos m. d. victor medical clinic 55 harbor avenue, bul - 773 pullman, mn 74618 dear thomas : thank you very much for referring mr. weeks for evaluation of coronary disease, mitral insufficiency, atrial fibrillation, and congestive heart failure. as you know, he is a 78 - year - old gentleman who underwent coronary artery bypass grafting on 07 / 20 / 2096 and had two - vessel cabg at that time with a lima to mid lad and a saphenous vein graft to the right coronary artery. left atrial appendage was amputated and he had a closure of a pfo as well as a cryomaze procedure. the patient had symptoms of dyspnea on exertion prior to coronary artery bypass grafting. after the coronary artery bypass grafting, he had done well but now is noting that the shortness of breath and dyspnea on exertion has recurred. it has been progressive over the last several months. he had been seen by gi and also by pulmonary and has been treated for gastroesophageal reflux. he was found to have a pleural effusion which has been drained and he has had sclerosing of that. he has also had an admission for renal failure this spring. past medical history : notable for insulin - dependent diabetes. hypertension. hypercholesterolemia. hyperhomocysteinemia. paroxysmal atrial fibrillation. benign prostatic hypertrophy. gout. renal insufficiency. mild thrombocytopenia. current medications : atenolol 25 mg bid coumadin ; dir : as directed ecotrin 325 mg qd lipitor 20 mg qd lasix 120 mg qd folate 1 mg qd allopurinol 100 mg qd ativan proscar free text medications ; dir : insulin protonix allergies : no known drug allergy or iv contrast dye. family history : positive for brother who is status post stent placement at the age of 78 and another brother with congestive heart failure. there is also peripheral vascular disease and diabetes in his family. social history : the patient has a 25 - pack - year history of smoking, quit in 2065. he does not drink alcohol. he lives independently with his
******************
wife and comes to the interview with his daughter who works at casco bay shipping. review of systems : negative for fevers, chills, weight loss or gain. he has not had any visual loss or hearing loss. he denies hematochezia. he has not had difficulty swallowing, change in bowel habits, constipation, diarrhea, or hematemesis. he denies chest pain, pnd, orthopnea, or pedal edema. he denies dysuria or hematuria. he has not had any rashes or poor healing wound lesions. physical examination : - pulse : 55 and regular - bp : 160 / 80 in the right and left arm in seated position - resp. rate : 12 and unlabored - heent : no xanthelasma, scleral icterus, proptosis, or lid lag. mucous membranes are moist. trachea is midline - neck : thyroid is not palpable. carotids are 2 + without bruits. have a normal upstroke. jvp is less than 7 cm of water - chest : clear without rales, rhonchi, or wheezes. he does have low dullness in both bases - cardiac : remarkable for well - healed midline incision of the sternum. he has a normal s1 and s2 and a grade 1 / 6 holosystolic murmur radiating to the apex and a grade 1 / 6 high - pitched holosystolic murmur at the left sternal border which is different from the other murmur - abdomen : normal bowel sounds. no organomegaly. no pulsatile masses - extremities : peripheral pulses are 2 + and symmetric. he has no pedal edema. he has no clubbing or cyanosis procedures : tc mibi status post the patient underwent adenosine mibi testing on. his heart rate from 67 to 90 which was only 62 % of the maximal predicted heart rate. peak blood pressure was 158 / 80. he had no chest pain. nuclear imaging showed distal anterior wall and apical septal defect consistent with mild - to - moderate ischemia in that distribution. the patient has also had an event monitor but we do not have the results of that in hand. ekg : today shows atrial fibrillation with a fairly regular rate at about 55, leftward axis, and ivcd with nonspecific st - t wave abnormalities. selected recent labs :
******************
laboratory results recently have shown plasma creatinine of 2. 4, bun of 42, hematocrit of 30. 4, white count of 5. 4, and platelet count of 92, 000 all done on 12 / 22 / 2096 and 12 / 26 / 2096. assessment and plan : in summary, this is a 78 - year - old gentleman who has a history of coronary artery bypass grafting, closure of pfo, and ligation of the left atrial appendage and maze procedure which was done in july 2096. his anginal equivalent prior to that was dyspnea on exertion and he did well for a period of time but now has dyspnea on exertion again. there are a number of factors involved here. he has atrial fibrillation which is now recurrent but the rate seems to be reasonably well controlled. i doubt that, that is playing a role in his shortness of breath. he also has a history of plural effusions which could have been contributing to shortness of breath as well and that has been dealt with corrosion of the pleura. he has mitral regurgitation which in the past was said to be moderate and he has had the closure of pfo. he has insulin - dependent diabetes and hypertension. he also has low platelets. the recurrence of the exertional dyspnea is certainly worrisome for recurrence of coronary disease particularly with the exercise test showing anterior wall ischemia. it may be that there are other issues contributing to this, the atrial fibrillation and mitral regurgitation. he has murmur consistent with mitral regurgitation, but he has no evidence of decompensated congestive failure at this time. blood pressure is elevated somewhat and i think that increase in his avapro might be worthwhile. he also has chronic renal insufficiency which makes things more complicated as well. my feeling is that we are dealing with recurrence of coronary disease and i spoke with the patient about this. he is clearly limited in his exercise capacity and wants to have something done. i would like to get an echocardiogram to be sure we are dealing with constrictive disease, but i think he will probably need to have a cardiac catheterization. i would like to get the echocardiogram, bring him in for cardiac catheterization, and see if there are narrowings</t>
  </si>
  <si>
    <t>patient's two conditions are fused: umbilical hernia (surgery performed not mentioned) and s/p TURP which was performed for prostatic hypertrophy</t>
  </si>
  <si>
    <t>The patient has a history of congestive heart failure (CHF) and has been diagnosed with hypertrophic cardiomyopathy (HOCM) and aortic stenosis (AS). She is currently on multiple medications, including metoprolol and verapamil, which are used to manage her cardiovascular conditions. However, there is no documented history of myocardial infarction (MI) or current angina. The clinical notes mention ischemic changes on EKG, but it is not explicitly stated that the patient is currently experiencing ischemia. Therefore, while the patient is on multiple medications for her cardiovascular issues, she does not meet the requirement of having 2 or more of the specified categories (a, b, c, d) to qualify as having advanced CAD.</t>
  </si>
  <si>
    <t>['bumex 6 mg po bid', 'metoprolol 100 mg po tid', 'verapamil hydrochloride, sr (extended release) 120mg sr po qd', 'lescol 40mg po qhs', 'plavix 75mg po qd', 'nexium 40mg po qd', 'colace 100 mg po tid', 'miralax 17 g 2 po qhs', 'fosamax 70mg po qwk', 'niferex 150 1 po qd', 'zyrtec 10mg po qd', 'advair 500/50mcg spray inh bid', 'spiriva 18mcg/capsule inh qd']</t>
  </si>
  <si>
    <t>The model correctly identifies that the patient is on multiple medications for cardiovascular conditions, including metoprolol and verapamil, which could suggest treatment for CAD. However, the evidence does not confirm a history of myocardial infarction or current angina, and while ischemic changes are noted on EKG (rank 1), it is not explicitly stated that the patient is currently experiencing ischemia. Thus, the rationale partially applies to the criterion definition but lacks confirmation of two required categories (a, b, c, d) for advanced CAD.</t>
  </si>
  <si>
    <t>["135_0_4"]</t>
  </si>
  <si>
    <t>##opnea / pnd / claudication, + le edema for the past 1 - 2 months. no n / v / d / hematochezia / melena. no delta ms / loc. no slurring of speech, unilateral weakness. no dysuria. hospital course : patient had tte performed on 7 / 24 / 91 which showed increase trans - mitral valve gradient. given patient's history of mvr, tee was recommended. on the night of 7 / 24 / 91, patient ( who was known to sundown ) tried to attack her roommate and fell on the floor hitting her head. no change in ms. in the setting of being on coumadin, patient had a stat ct of the head done which was negative for bleeds. on 7 / 25 / 91, patient went down for a tee but desated to 80s and the procedure was aborted. dr. janssen then decided to perform cardiac cath on the patient saturday 7 / 28 / 91. on 7 / 26 / 91, decision was made to put her on bipap for the night, and the patient did well and felt rested the next morning. on 7 / 27 / 91, because patient looked so well, she was not put on bipap but rather only on o2nc for the night. this am, patient's respiratory status declined satting in the low 90s while on o2 6lnc. abg was performed which showed 7. 48 / 52 / 50. after speaking to cardiology, decision was made to transfer the patient to the ccu for intubation prior to cardiac cath this pm. a tee will be performed while patient is intubated. patient is currently npo ready for cath this pm. pmh : 1. copd - pfts on 7 / 17 / 91 w / fev1 = 32 %, fev1 / fvc = 63 % 2. mvr - st. jude's valve, 2085 3. hocm - s / p myomectomy in 2085, tte in 2090 showed ef = 75 %, no segmental wall motion abnormalities, dilated la, mild ai ; cardiac cath in 5 / 85 w / only mild plaques 4. l cea - 10 / 89 5. gi bleed - secondary to angiodysplasia, egd / colonoscopy on 7 / 10 / 91 showed hiatal hernia and divertic
******************
/ 2090, the transmitral gradients have increased, the degree of mr and ai has increased, and the rv systolic pressure has increased significantly. lv size and function remain normal. if clinically indicated, a transesophageal echo is suggested to better evaluate the prosthetic valve. cthead : 1. no acute intracranial hemorrhage or fracture. 2. non - specific periventricular and subcortical white matter hypoattenuating areas are likely due to chronic microangiopathic changes. _ _ _ _ _ _ _ _ _ _ _ _ _ _ _ _ _ _ _ _ _ _ _ _ _ _ _ _ _ _ _ _ _ _ _ _ _ _ _ _ _ _ _ impression : ms. mitchell is a 75 yo woman w / multiple medical problems including hocm, s / p mvr and myomectomy as well as copd who presents with increasing sob and doe for the past four days. of note, the patient notes increasing doe for the past 4 months but with acute decompensation today. her progressive doe may be related to chf, especially in the setting of ischemic changes seen on ekg however, her acute decompensation may be related to copd exacerbation in the setting of a viral illness. plan : sob - unclear etiology currently by may likely be multifactorial - - treat copd w / atrovent nebs, prednisone, o2, levaquin - - patient did not tolerate tachycardiac so albuterol was dc'ed - - follow urine output secondary to iv lasix - - daily weights, strict is and os - - keep o2 sats 88 - 90 % ekg changes - pt w / o known history of cad however w / and st depressions on ekg that appear rate related - - iv lopressor to decrease rate - - asa - - cardiac monitor - - cardiac cath per dr. janssen with tee mvr - on coumadin - - follow inr trigeminal neuralgia - improving w / pain control and tegretol - - continue current management fen - - - encourage pos - - replete lytes as needed 6. prophylaxis - nexium, coumadin _ _ _ _ _ _ _ _ _ _ _ _ _ _ _ _ _ _ _ _ _ _ _ _ _ _ _ _ _ _ _
******************
bowel sounds, non tender, non distended, soft, no guarding or rebound musculoskeletal : normal bulk and tone extremities : no peripheral edema, clubbing or cyanosis, 1 + dp pulses bilaterally, brisk capillary refill neuro : alert and oriented x3, cn ii - xii grossly intact, 5 - / 5 strength in all extremities labs : na 133, k 4. 4, cl 99, co2 28. 1, bun 17, cr 1. 0, glu 181 carbamazepime 7. 5 wbc 20. 2, hct 35. 5, hgb 11. 7, plt 386 ckmb / trop i negative x 1 pt 18. 3 ptt 25. 7 ua negative ekg : irregular, inverted p waves in ii, iii, avf ( unchanged from prior ekg ), no st elevations or depression, no twi, poor r wave progression compared to old ekg last echo 8 / 07 / 91 : la dilation, symmetric lvh, small hyperkinetic lv, ef 75 % last cardiac cath 7 / 28 / 91 : right dominant, clean coronaries radiology : cxr ( portable ) - small right pleural effusion, kerley b lines, c / w chf cxr ( pa and lateral ) - no infiltrates impression / plan : 75 yo woman with chf, s / p mvr x2, copd with 3 day history of increased sob with likely chf exacerbation. cardiac : chf pump : patient with known small, hypertrophic lv with 75 % ef ; pt somewhat volume overloaded by exam : + jvd, bilateral crackles, however no le edema ; continue diuresis with iv lasix, daily weights, strict i / o rhythm : nsr, pt has pacer ischemia - cardiac enzymes negative x 1, romi, cardiac monitor copd : no wheezes on exam continue home regimen : combivent, advair id : pt afebrile, however with elevated wbc, no diff yet ua negative, no infiltrates on cxr, abdominal exam benign, blood cultures pending, will get cbc with diff and follow exam fen continue kcl 20meq qd, replete lytes as necessary hyponatremia most likely secondary to volume over
******************
morphology impr / plan : 75 yo woman with mvr, hocm, severe as who p / w following episode of syncope. 1. syncope : hx worrisome for cardiac etiology given suddenness of the episode w / o much warning. likely etiologies could be some decreased pre - load in setting of recent increased diuresis, perhaps decreased po intake in a woman dependent on preload 2 / 2 her valvular disease. in addion, pt could have had an arrythmia which would necessitate interrogating her pacer. seizure activity is not part of the hx but the pt does have carotid disease which might have been playing a role as well. - - will check echo in a. m. to assess valvular disease, lv function, could consider stress test - - will consult ep to assess pacer function - - pt has already ruled out for mi but will keep her on monitor at least overnight - - will need to pay close attention to volume status as pt is very preload dependent - - will re - check carotid studies - - will re - start asa ( it was recently stopped ) given carotid and vascular disease 2. chf : pt carries diagnosis of chf and cxr c / w some pulmonary congestion. on exam, pt with crackles bilaterally also c / w pulm edema. - - will cont outpt lasix but need to be very careful given pt's tenous volume status 3. copd : cont outpt regimen 4. fen : normal diet, replete lytes as needed 5. proph : boots, teds since pt hit positive, nexium kevin henry, md pager 49057
******************
record date : 2094 - 04 - 14 cardiology port huron hospital reason for visit : 77 year old woman with mitral stenosis, s / p redomvr for thrombosed st. jude valve, now with porcine mvr, as, copd, s / p r total hip replacement. interval history : mrs. mitchell has hypertrophic cardiomyopathy, mitral stenosis, aortic stenosis, hypertension and copd. she had a mitral valve replacement with the st. jude's valve and septal myomectomy in 2085. because of thrombosis of the valve with recurrent heart failure, she had a redo mitral valve replacement complicated by sinus arrest and av nodal block requiring a permanent pacemaker. she also had several episodes of syncope, once after taking an additional dose of lasix and another in the setting of over diuresis. repeat echo showed that her as was not critical and she had significant lv outflow tract obstruction. other medical problems include severe copd, trigeminal neuralgia, ruled out for temporal arteritis by several biopsies, r hip osteonecrosis, and bone spur of the right shoulder. mrs. mitchell is s / p total hip replacement surgery, and had her rehab atnorth mountain hospital. she had intercurrent admissions for overdiuresis and for flash pulmonary edema with over - and under - diuresis, respectively. she currently takes bumex 6 mg po bid, and with this, her weight has been 140 - 145 pounds, which is her target weight. her bun and cr are in the 25 - 40 / 1. 3 - 1. 7 range. since her last visit, she has done well at home. her breathing at home is intermittently difficult, especially if she rushes. however, oximetry shows that she is in the mid 90's at rest, and that she drops down to high 80's to 90 with exertion. she has had gi evaluation for anemia in the past, only revealing diverticulosis ; her hct was 28 recently, and dr. conway arranged for her to udnergo transfusion of one unit of prbc. she feels more energetic after this. she takes fe sulfate, but has some constipation from this. she may require ent surgery for vocal cord growth by dr. cherry. this is being considered in consultation with her lmd dr.
******************
severely reduced, although there was only one adequate maneuver performed and thus reproducibility cannot be assured. dl / va is reduced. these data demonstrate a mild obstructive ventilatory deficit. the spirometry obtained today are similar to those from 12 / 14 / 2092. resting room air oxygen saturation is below normal limits, and there is significant arterial oxygen desaturation with exertion. kevondrick k. naranjo, m. d. / charles yzaguirre, m. d. * end of report * assessment and plan : 77 year old woman s / p redo - mvr, as, chf, copd, s / p r hip replacement. problems : congestive heart failure - her lv outflow tract obstruction and hypertrophic cardiomyopathy is well compensated with metoprolol and verapamil sr. she cannot tolerate ace inhibitors because of her severe aortic stenosis. continue diuresis with bumex 6 mg po bid. good bun and cr, weight close to target, overall euvolemic. chronic obstructive lung disease - followed by dr. lucas. pft's stable. changes to medications this visit niferex 150 1 po qd take one pill a day qty : 90 refills : 4 start : 04 / 14 / 2094 zyrtec 10mg po qd start : 04 / 29 / 2092 advair 500 / 50mcg spray inh bid start : 04 / 29 / 2092 spiriva 18mcg / capsule inh qd use only in handihaler device qty : 90 capsules refills : 3 start : 11 / 11 / 2092 verapamil hydrochloride, sr ( extended release ) 120mg sr po qd start : 04 / 29 / 2092 metoprolol 100 mg po tid start : 04 / 29 / 2092 lescol 40mg po qhs start : 04 / 29 / 2092 plavix 75mg po qd start : 04 / 29 / 2092 nexium 40mg po qd start : 04 / 29 / 2092 colace 100 mg po tid start : 04 / 14 / 2093 bumex 6 mg po bid start : 11 / 13 / 2092 miralax 17 g 2 po qhs for constipation start : 04 / 14 / 2093 fosamax 70mg po qwk start : 04 / 29</t>
  </si>
  <si>
    <t>patient has pacer ischemia</t>
  </si>
  <si>
    <t>ASP-FOR-MI</t>
  </si>
  <si>
    <t>The patient is currently taking aspirin (asa 325mg po qd), which is indicated for preventing myocardial infarction (MI). Therefore, the inclusion criterion is met.</t>
  </si>
  <si>
    <t>['foradil inhaler', 'metoprolol 50mg bid', 'flovent 110mcg 4 puffs bid', 'nexium 40mg qd', 'verapamil sr 120mg qd', 'mvi', 'atrovent inhaler', 'coumadin 2.5mg qd', 'serevent 1 puff bid', 'fosamax 70mg qweek', 'lescol 20mg qd', 'zyrtec 10mg qd prn', 'tums qd', 'albuterol inhaler', 'tegretol xr 400mg qd', 'iron 325mg qd', 'metamucil 1 tsp qd', 'enemas prn', 'baclofen 5mg tid', 'ultram 50mg prn', 'tylenol prn', 'neurontin 600mg tid', 'zithromax prior to dental work', 'heparin 1000u/hr iv', 'laxis 20mg iv bid', 'prednisone 40mg po qam', 'carbamazepin 200mg po bid', 'asa 325mg po qd', 'atrovent 0.5mg neb qid', 'levofloxacin 500mg po qd', 'iron 325mg po qd', 'baclofen 5mg po tid', 'fosamax 70mg po qweek', 'lescol 20mg po qd', 'nexium 40mg po qd', 'verapamil sr 120mg po qd', 'mvi 1tab po qd', 'serevent 1puff inh bid', 'lopressor 50mg po bid', 'flovent 110mcg inh bid', 'colace 100mg po tid', 'fiber capsule qd', 'zyrtec 10mg qd', 'nasacort aq bid', 'advair 500/50mcg spray inh bid', 'ambien 5mg po qhs', 'bumex 4mg po bid', 'miralax 17g 2 po qhs', 'paxil 10mg po qd', 'plavix 75mg po qd', 'spiriva 18mcg/capsule inh qd', 'verapamil hydrochloride, sr 120mg sr po qd', 'colace 100mg po tid', 'bumex 6mg po bid', 'niferex 150 1 po qd', 'zyrtec 10mg po qd', 'advair 500/50mcg spray inh bid', 'spiriva 18mcg/capsule inh qd', 'verapamil hydrochloride, sr 120mg sr po qd', 'metoprolol 100mg po tid', 'lescol 40mg po qhs', 'nexium 40mg po qd', 'colace 100mg po tid', 'bumex 6mg po bid', 'miralax 17g 2 po qhs', 'fosamax 70mg po qwk']</t>
  </si>
  <si>
    <t>The model rationale correctly identifies that the patient is taking aspirin (asa 325mg po qd), which is indicated for preventing myocardial infarction (MI), thus meeting the inclusion criterion. This is supported by the evidence provided in chroma_id '135_0_2', which lists 'asa 325mg po qd' among the patient's medications.</t>
  </si>
  <si>
    <t>["135_0_2"]</t>
  </si>
  <si>
    <t>##ulosis respectively 6. trigeminal neuralgia medications on admission : foradil inhaler metoprolol 50mg bid flovent 110mcg 4 puffs bid nexium 40mg qd verapamil sr 120mg qd mvi atrovent inhaler coumadin 2. 5mg qd serevent 1 puff bid fosamax 70mg qweek lescol 20mg qd zyrtec 10mg qd prn tums qd albuterol inhaler tegretol xr 400mg qd iron 325mg qd metamucil 1 tsp qd enemas prn baclofen 5mg tid ultram 50mg prn tylenol prn neurontin 600mg tid zithromax prior to dental work medication on transfer heparin 1000u / hr iv in premixed continuous laxis 20mg iv bid prednisone 40mg po qam carbamazepin 200mg po bid asa 325mg po qd atrovent 0. 5mg neb qid levofloxacin 500mg po qd iron 325mg po qd baclofen 5mg po tid fosamax 70mg po qweek lescol 20mg po qd nexium 40mg po qd verapamil sr 120mg po qd mvi 1tab po qd serevent 1puff inh bid lopressor 50mg po bid flovent 110mcg inh bid colace 100mg po tid allergies : amoxicillin, penicillin, compazine, bactrim, sudafed, and percodan. sh : lives alone, son lives in nm, come up to help out tob : 50 pack year history, quit etoh : denies illicits : denies fh : not elicited exam : vs : t = 97. 8 hr = 83 bp = 106 / 58 rr = 24 sao2 = 98 % 6l general : in mild respiratory distress heent : nc / at, perrl, anicteric sclera. eomi. op w / mmm, no erythema or injection. skin : no rashes neck : supple, full rom, jvp flat ( difficult to assess ) chest : diffuse insp and exp wheeze cvs : tachy nl s1 s2, distorted by pulmonary sounds abd
******************
: + bs, soft, nd / nt gu : deferred extr : 1 + pitting edema, warm extremities neuro : alert and oriented x 3 data : chemistry : plasma sodium 140 135 - 145 mmol / l plasma potassium 3. 4 3. 4 - 4. 8 mmol / l plasma chloride 95 l 100 - 108 mmol / l plasma carbon dioxide 34. 5 h 23. 0 - 31. 9 mmol / l calcium 9. 1 8. 5 - 10. 5 mg / dl phosphorus 2. 0 l 2. 6 - 4. 5 mg / dl magnesium 1. 4 1. 4 - 2. 0 meq / l plasma urea nitrogen 29 h 8 - 25 mg / dl plasma creatinine 0. 9 0. 6 - 1. 5 mg / dl abg : art fio2 5lnc fio2 / l result text :. 30 art temp out 37. 0 deg c arterial ph 7. 48 h 7. 35 - 7. 45 arterial pco2 52 h 35 - 42 mm / hg arterial po2 50 l 80 - 100 mm / hg ionic calcium 1. 21 1. 14 - 1. 30 mmol / l heme : wbc 9. 9 4. 5 - 11. 0 th / cmm hct 36. 0 36. 0 - 46. 0 % hgb 12. 1 12. 0 - 16. 0 gm / dl rbc 4. 19 4. 00 - 5. 20 mil / cmm plt 232 150 - 350 th / cumm mcv 86 80 - 100 fl mch 29. 0 26. 0 - 34. 0 pg / rbc mchc 33. 7 31. 0 - 37. 0 g / dl rdw 26. 1 h 11. 5 - 14. 5 % pt 14. 2 h 11. 1 - 13. 1 sec pt - inr 1. 3 result text : pt - inr values are valid only for warfarin anti - coag therapy. aptt 57. 3 h 22. 1 - 35. 1 sec ct angiogram - negative for pe on preliminary read cxr : small bilateral pleural effusions ekg : sinus tachycardia at 112bpm, lae, 1mm st depressions v4 - v6 ( similar when compared to previous ekg w / tachycardia to 120 ) tte : compared to the report of 09 / 09
******************
200mg bid / tid alternating baclofen 5mg tid mvi with no k nexium 40mg qd calcium carbonate 1000mg qd clonazepam 0. 5mg qam, 0. 25mg qpm lasix 80mg qd kcl 20meq qd ultram prn ( for trigeminal neuralgia ) fosamax 70mg q sunday combivent 2 - 3 puffs q6h albuterol mdi prn colace 100mg tid fiber capsule qd zyrtec 10mg qd nasacort aq bid allergies : heparin ( hit ab positive ), pcn ( angioedema ), amoxicillin ( itch ), bactrim ( itch ), erythromycin ( itch ), percocet ( rash, sob ), compazine ( itch ), erythromycin ( diarrhea ) family history : mother died of mi at age 59. father died of cancer. no other family h / o cad, htn, or dm. pt has two older sisters who are alive and well. social history : after her admission for mvr in 8 / 2091, ms. mitchell spent several weeks at nmh for rehab. she has been living at home since the end of september. she receives vna services at home, in addition her son lives with her and helps to take care of her. she is widowed. 50 pack year h / o tobacco. no alcohol or illicit drug use. review of systems : as per hpi physical examination vital signs ( ed ) : t 97. 2 tm 99. 1 hr 82 rr 22 bp 133 / 57 sao2 88 % ra vital signs ( floor ) : t 97. 1 hr 72 rr 40 bp 122 / 57 sao2 91 % 3l general appearance : thin, somewhat anxious, elderly woman, in no acute distress heent : normocephalic, perrl, anicteric sclerae, moist mucous membranes, no cervical, posterior auricular, or supraclavicular adenopathy, oropharynx clear neck : supple lungs : crackles at bilateral lung bases, no wheezes cardiovascular : regular rate and rhythm, 2 / 6 hsm heard best at apex, no rubs or gallops, no heaves, no carotid bruits, jvp = 8 abdomen : normal
******************
cea ( 10 / 89 ) copd - pfts on 7 / 17 / 91 w / fev1 = 32 %, fev1 / fvc = 63 % h / o angiodyplasia, gastritis, gastrointestinal bleed diverticulosis trigeminal neuralgia arthritis + hit 2091 retinal artery vein occlusion s / p repair right sided pacemaker 8 / 91 cv : - echo 11 / 91 : bioprosthetic prosthetic valve in the mitral position. the valve appears well - seated. the left atrium is dilated. there is restricted aortic leaflet opening c / w valvular aortic stenosis. the peak trans av gradient is 46 mmhg. the mean trans av gradient is 23 mmhg. the aortic valve area is 0. 8 sqcm., calculated by the continuity equation. ( lvot dimension = 1. 8 cm. ) ( lvot velocity = 1. 06 m / s. ) the peak velocity was obtained from the apical 5 chamber view. there is evidence of mild aortic insufficiency. the left ventricular cavity size is small. the left ventricular systolic function is within normal limits. there is symmetric left ventricular hypertrophy. there are no obvious segmental wall motion abnormalities. the estimated ejection fraction is 55 %. - cath 08 / 91 : nml vessels all : heparin ( hit ab positive ), pcn ( angioedema ), amoxicillin ( itch ), bactrim ( itch ), erythromycin ( itch ), percocet ( rash, sob ), compazine ( itch ), erythromycin ( diarrhea ) meds ( at home ) : lasix 80 mg qd kcl 10 meq 2 daily nexium 40 mg qd verapamil sr 120 mg qd lescol 40 mg qd tegretol 200 mg 2 daily plus one every other day baclofen 5 mg tid ultram 50 mg tid prn paroxetine hcl 10 mg qd clonazepam 0. 5 mg mvi tums colace fiber laxative combivent inhaler duoneb 2. 5 - 0. 5 / 3 ml advair 250 / 50 1 puff bid fosamax 70 mg qweek ambien
******************
evelyn conway, and her pulmonologist dr. geoffrey lucas. medications ( confirmed ) : advair 500 / 50mcg spray inh bid ambien 5 mg po qhs bumex 4 mg po bid colace 100 mg po tid fosamax 70mg po qwk lescol 40mg po qhs metoprolol 100 mg po tid miralax 17 g 2 po qhs nexium 40mg po qd paxil 10mg po qd plavix 75mg po qd spiriva 18mcg / capsule inh qd verapamil hydrochloride, sr ( extended release ) 120mg sr po qd zyrtec 10mg po qd allergies : penicillin allergy angioedema allergic drug reaction percodan, bactrim, pseudophed, leading to angioedema heparin induced thrombocytopenia hit family history : negative for cad social history : son bobby ( retired secondary school teacher ) now lives with her sister lives on chipley ( near eagle pass ) god - daughter bethany lives nearby review of systems : all systems reviewed. except as noted above, noncontributory. physical examination : - bmi : 27. 1 overweight, moderate risk - pulse : 60 - resp. rate : 12 - height : 61 in. - weight : 143 lbs. - general appearance : no acute distress. - skin : no rashes, anicteric. - heent : eom full, perrl - neck : carotids 2 + with bruits greater on right than left. jvp approximately 5 cm. - nodes : no cervical, axillary or groin adenopathy appreciated. - breasts : no masses, dimpling or retractions. - chest : clear to auscultation and percussion!!! no crackles. no use of accessory muscles. - cardiac : left ventricular impulse discrete and nondisplaced. regular rate and rhythm, normal s1 and s2, with no s3 or s4. there were no clicks or rubs. there was a 3 / 6 systolic murmur at the base, and a 2 / 6 systolic murmur at the apex. - abdomen : normal bowel sounds, soft and nontender, with no hepatosplenomegaly or masses appreciated. - extremities : no cyanosis, clubbing or edema. 2 + fe
******************
severely reduced, although there was only one adequate maneuver performed and thus reproducibility cannot be assured. dl / va is reduced. these data demonstrate a mild obstructive ventilatory deficit. the spirometry obtained today are similar to those from 12 / 14 / 2092. resting room air oxygen saturation is below normal limits, and there is significant arterial oxygen desaturation with exertion. kevondrick k. naranjo, m. d. / charles yzaguirre, m. d. * end of report * assessment and plan : 77 year old woman s / p redo - mvr, as, chf, copd, s / p r hip replacement. problems : congestive heart failure - her lv outflow tract obstruction and hypertrophic cardiomyopathy is well compensated with metoprolol and verapamil sr. she cannot tolerate ace inhibitors because of her severe aortic stenosis. continue diuresis with bumex 6 mg po bid. good bun and cr, weight close to target, overall euvolemic. chronic obstructive lung disease - followed by dr. lucas. pft's stable. changes to medications this visit niferex 150 1 po qd take one pill a day qty : 90 refills : 4 start : 04 / 14 / 2094 zyrtec 10mg po qd start : 04 / 29 / 2092 advair 500 / 50mcg spray inh bid start : 04 / 29 / 2092 spiriva 18mcg / capsule inh qd use only in handihaler device qty : 90 capsules refills : 3 start : 11 / 11 / 2092 verapamil hydrochloride, sr ( extended release ) 120mg sr po qd start : 04 / 29 / 2092 metoprolol 100 mg po tid start : 04 / 29 / 2092 lescol 40mg po qhs start : 04 / 29 / 2092 plavix 75mg po qd start : 04 / 29 / 2092 nexium 40mg po qd start : 04 / 29 / 2092 colace 100 mg po tid start : 04 / 14 / 2093 bumex 6 mg po bid start : 11 / 13 / 2092 miralax 17 g 2 po qhs for constipation start : 04 / 14 / 2093 fosamax 70mg po qwk start : 04 / 29</t>
  </si>
  <si>
    <t>DIETSUPP-2MOS</t>
  </si>
  <si>
    <t>The patient is taking a multivitamin (mvi) and calcium carbonate, both of which are commonly considered dietary supplements. Fosamax is used for osteoporosis but is not typically classified as a dietary supplement. However, the presence of the multivitamin and calcium carbonate is sufficient to meet the inclusion criterion.</t>
  </si>
  <si>
    <t>['mvi', 'calcium carbonate', 'fosamax']</t>
  </si>
  <si>
    <t>The model correctly identifies that the patient is taking a multivitamin (mvi) and calcium carbonate, both of which are commonly considered dietary supplements, as per the criterion definition. The evidence from chroma_id '135_0_2' and '135_1_1' confirms the presence of these supplements in the patient's medication list. Fosamax is not considered a dietary supplement, but the presence of the multivitamin and calcium carbonate is sufficient to meet the criterion.</t>
  </si>
  <si>
    <t>["135_0_2", "135_1_1"]</t>
  </si>
  <si>
    <t>##ulosis respectively 6. trigeminal neuralgia medications on admission : foradil inhaler metoprolol 50mg bid flovent 110mcg 4 puffs bid nexium 40mg qd verapamil sr 120mg qd mvi atrovent inhaler coumadin 2. 5mg qd serevent 1 puff bid fosamax 70mg qweek lescol 20mg qd zyrtec 10mg qd prn tums qd albuterol inhaler tegretol xr 400mg qd iron 325mg qd metamucil 1 tsp qd enemas prn baclofen 5mg tid ultram 50mg prn tylenol prn neurontin 600mg tid zithromax prior to dental work medication on transfer heparin 1000u / hr iv in premixed continuous laxis 20mg iv bid prednisone 40mg po qam carbamazepin 200mg po bid asa 325mg po qd atrovent 0. 5mg neb qid levofloxacin 500mg po qd iron 325mg po qd baclofen 5mg po tid fosamax 70mg po qweek lescol 20mg po qd nexium 40mg po qd verapamil sr 120mg po qd mvi 1tab po qd serevent 1puff inh bid lopressor 50mg po bid flovent 110mcg inh bid colace 100mg po tid allergies : amoxicillin, penicillin, compazine, bactrim, sudafed, and percodan. sh : lives alone, son lives in nm, come up to help out tob : 50 pack year history, quit etoh : denies illicits : denies fh : not elicited exam : vs : t = 97. 8 hr = 83 bp = 106 / 58 rr = 24 sao2 = 98 % 6l general : in mild respiratory distress heent : nc / at, perrl, anicteric sclera. eomi. op w / mmm, no erythema or injection. skin : no rashes neck : supple, full rom, jvp flat ( difficult to assess ) chest : diffuse insp and exp wheeze cvs : tachy nl s1 s2, distorted by pulmonary sounds abd
******************
: + bs, soft, nd / nt gu : deferred extr : 1 + pitting edema, warm extremities neuro : alert and oriented x 3 data : chemistry : plasma sodium 140 135 - 145 mmol / l plasma potassium 3. 4 3. 4 - 4. 8 mmol / l plasma chloride 95 l 100 - 108 mmol / l plasma carbon dioxide 34. 5 h 23. 0 - 31. 9 mmol / l calcium 9. 1 8. 5 - 10. 5 mg / dl phosphorus 2. 0 l 2. 6 - 4. 5 mg / dl magnesium 1. 4 1. 4 - 2. 0 meq / l plasma urea nitrogen 29 h 8 - 25 mg / dl plasma creatinine 0. 9 0. 6 - 1. 5 mg / dl abg : art fio2 5lnc fio2 / l result text :. 30 art temp out 37. 0 deg c arterial ph 7. 48 h 7. 35 - 7. 45 arterial pco2 52 h 35 - 42 mm / hg arterial po2 50 l 80 - 100 mm / hg ionic calcium 1. 21 1. 14 - 1. 30 mmol / l heme : wbc 9. 9 4. 5 - 11. 0 th / cmm hct 36. 0 36. 0 - 46. 0 % hgb 12. 1 12. 0 - 16. 0 gm / dl rbc 4. 19 4. 00 - 5. 20 mil / cmm plt 232 150 - 350 th / cumm mcv 86 80 - 100 fl mch 29. 0 26. 0 - 34. 0 pg / rbc mchc 33. 7 31. 0 - 37. 0 g / dl rdw 26. 1 h 11. 5 - 14. 5 % pt 14. 2 h 11. 1 - 13. 1 sec pt - inr 1. 3 result text : pt - inr values are valid only for warfarin anti - coag therapy. aptt 57. 3 h 22. 1 - 35. 1 sec ct angiogram - negative for pe on preliminary read cxr : small bilateral pleural effusions ekg : sinus tachycardia at 112bpm, lae, 1mm st depressions v4 - v6 ( similar when compared to previous ekg w / tachycardia to 120 ) tte : compared to the report of 09 / 09
******************
200mg bid / tid alternating baclofen 5mg tid mvi with no k nexium 40mg qd calcium carbonate 1000mg qd clonazepam 0. 5mg qam, 0. 25mg qpm lasix 80mg qd kcl 20meq qd ultram prn ( for trigeminal neuralgia ) fosamax 70mg q sunday combivent 2 - 3 puffs q6h albuterol mdi prn colace 100mg tid fiber capsule qd zyrtec 10mg qd nasacort aq bid allergies : heparin ( hit ab positive ), pcn ( angioedema ), amoxicillin ( itch ), bactrim ( itch ), erythromycin ( itch ), percocet ( rash, sob ), compazine ( itch ), erythromycin ( diarrhea ) family history : mother died of mi at age 59. father died of cancer. no other family h / o cad, htn, or dm. pt has two older sisters who are alive and well. social history : after her admission for mvr in 8 / 2091, ms. mitchell spent several weeks at nmh for rehab. she has been living at home since the end of september. she receives vna services at home, in addition her son lives with her and helps to take care of her. she is widowed. 50 pack year h / o tobacco. no alcohol or illicit drug use. review of systems : as per hpi physical examination vital signs ( ed ) : t 97. 2 tm 99. 1 hr 82 rr 22 bp 133 / 57 sao2 88 % ra vital signs ( floor ) : t 97. 1 hr 72 rr 40 bp 122 / 57 sao2 91 % 3l general appearance : thin, somewhat anxious, elderly woman, in no acute distress heent : normocephalic, perrl, anicteric sclerae, moist mucous membranes, no cervical, posterior auricular, or supraclavicular adenopathy, oropharynx clear neck : supple lungs : crackles at bilateral lung bases, no wheezes cardiovascular : regular rate and rhythm, 2 / 6 hsm heard best at apex, no rubs or gallops, no heaves, no carotid bruits, jvp = 8 abdomen : normal
******************
##load from chf neuro / psych continue ativan for anxiety pt has h / o sundowning : fall precautions, side rails, oob with assist only pain continue tegretol for trigeminal neuralgia, carbamazepime level within normal limits heme continue coumadin, will check inr endo continue calcium and fosamax for osteoporosis prophylaxis dvt - already on coumadin gi - nexium bowel regimen : colace, miralax prn consult pt / ot _ _ _ _ _ _ _ _ _ _ _ _ _ _ _ _ _ _ _ _ _ _ _ _ _ _ _ _ _ _ _ _ betty kaleena - kern, md ( internal medicine ) 6 - 6804
******************
5 mg qhs prn tylenol prn zyrtec 10 mg prn social : widowed and her son has been living with her since july. 50 pack year h / o tobacco. quit 7 - 8 yrs ago no alcohol or illicit drug use. family hx : mother died of mi at age 59. father died of cancer ( unknown primary ). pt with older sister who has heart problems exam : vitals : 108 / 46 97. 6 62 24 96 % on 2l gen : pt resting in bed in nad heent : eom intact, mucous membranes moist, neck supple chest : bi - basilar crackles r &gt; l ( slightly ) approx 1 / 3 to way up cor : rrr, 2 / 6 blowing crescendo - decrescendo murmur at usb to carotids, carotid bruits, jvp approx 7 - 8 back : no tenderness abd : positive bs, soft, nt / nd extr : warm, no edema _ _ _ _ _ _ _ _ _ _ _ _ _ _ _ _ _ _ _ _ _ _ _ _ _ _ _ _ _ _ _ _ _ _ _ _ _ _ _ _ _ _ _ _ labs : creatine kinase isoenz negative ( neg ) troponin - i negative ( neg ) troponin - t 0. 02 ( 0. 00 - 0. 09 ) ng / ml creatine kinase isoenz negative ( neg ) troponin - i negative ( neg ) sodium ( stat lab ) 133 l ( 135 - 145 ) mmol / l potassium ( stat lab ) 3. 6 ( 3. 4 - 4. 8 ) mmol / l chloride ( stat lab ) 96 l ( 100 - 108 ) mmol / l co2 ( stat lab ) 27. 6 ( 23. 0 - 31. 9 ) mmol / l bun ( stat lab ) 17 ( 8 - 25 ) mg / dl creatinine ( stat lab ) 0. 9 ( 0. 6 - 1. 5 ) mg / dl glucose ( stat lab ) 105 ( 70 - 110 ) mg / dl calcium 8. 9 ( 8. 5 - 10. 5 ) mg / dl phosphorus 3. 6 ( 2. 6 - 4. 5 ) mg / dl magnesium 1. 7 ( 1. 4 - 2. 0 ) meq / l ua - sed - rbc 5 - 10 ( 0 - 2
******************
severely reduced, although there was only one adequate maneuver performed and thus reproducibility cannot be assured. dl / va is reduced. these data demonstrate a mild obstructive ventilatory deficit. the spirometry obtained today are similar to those from 12 / 14 / 2092. resting room air oxygen saturation is below normal limits, and there is significant arterial oxygen desaturation with exertion. kevondrick k. naranjo, m. d. / charles yzaguirre, m. d. * end of report * assessment and plan : 77 year old woman s / p redo - mvr, as, chf, copd, s / p r hip replacement. problems : congestive heart failure - her lv outflow tract obstruction and hypertrophic cardiomyopathy is well compensated with metoprolol and verapamil sr. she cannot tolerate ace inhibitors because of her severe aortic stenosis. continue diuresis with bumex 6 mg po bid. good bun and cr, weight close to target, overall euvolemic. chronic obstructive lung disease - followed by dr. lucas. pft's stable. changes to medications this visit niferex 150 1 po qd take one pill a day qty : 90 refills : 4 start : 04 / 14 / 2094 zyrtec 10mg po qd start : 04 / 29 / 2092 advair 500 / 50mcg spray inh bid start : 04 / 29 / 2092 spiriva 18mcg / capsule inh qd use only in handihaler device qty : 90 capsules refills : 3 start : 11 / 11 / 2092 verapamil hydrochloride, sr ( extended release ) 120mg sr po qd start : 04 / 29 / 2092 metoprolol 100 mg po tid start : 04 / 29 / 2092 lescol 40mg po qhs start : 04 / 29 / 2092 plavix 75mg po qd start : 04 / 29 / 2092 nexium 40mg po qd start : 04 / 29 / 2092 colace 100 mg po tid start : 04 / 14 / 2093 bumex 6 mg po bid start : 11 / 13 / 2092 miralax 17 g 2 po qhs for constipation start : 04 / 14 / 2093 fosamax 70mg po qwk start : 04 / 29</t>
  </si>
  <si>
    <t>the temporal requirement may not be fulfilled, reports lack dates?</t>
  </si>
  <si>
    <t>MI-6MOS</t>
  </si>
  <si>
    <t>The patient was hospitalized on September 13, 2070, for increased chest pain and had a cardiac catheterization that showed obstruction and resulted in a stent placement. However, the clinical notes indicate that the patient had negative troponin studies, which suggests that there was no myocardial infarction (MI) during this hospitalization. Therefore, the patient does not meet the inclusion criterion of having had an MI within the past 6 months.</t>
  </si>
  <si>
    <t>['glucophage', 'glipizide', 'lipitor', 'plavix', 'atenolol', 'hydrochlorothiazide', 'norvasc', 'vasotec', 'aspirin']</t>
  </si>
  <si>
    <t>The model rationale incorrectly concludes that the patient did not have a myocardial infarction (MI) based solely on negative troponin studies. However, evidence from chroma_id '137_3_0' indicates that the patient was diagnosed with a non-ST elevation MI (NSTEMI) in September 2070, which can occur with negative troponin if detected early or if the troponin levels were not elevated enough to be detected. Thus, the rationale contains a logical error by equating negative troponin with the absence of MI.</t>
  </si>
  <si>
    <t>["137_3_0"]</t>
  </si>
  <si>
    <t>record date : 2068 - 03 - 31 eudowood services physician group 807 williams ct moody, johnny hyderabad, wi 62297 76324418 547 - 598 - 7353 03 / 31 / 2068 history of present illness : this 58 - year - old white male comes to the office for followup regarding his recent chest pain. chest pain. the patient was in his usual state of compensated health, but approximately one month ago after clearing significance note from his driveway, the patient started to note some anterior chest discomfort. he has a long history of coronary artery disease and this includes angioplasty and coronary artery bypass grafting in 2065. the pain did not radiate up to his neck or arm, but when the pain persisted even after returning from blountstown, he went to roper hospital north two days ago because of his chest discomfort to see his cardiologist. he was admitted to the hospital, had a cardiac catheterization, which according to the patient did not show any specific lesion. the doctors felt that he did not have a myocardial infarction, but that in fact his abnormality was due to a chest wall / muscular type syndrome. he was discharged on anti - inflammatory medicine and the patient had noted that when he took the aspirin over the past month, his discomfort was improved. the patient states that he had the chest x - rays at the hospital and in fact also had a ct scan, which did not show any pulmonary embolism. it also did not show any dissecting aneurysm according to the patient. left renal lesion. as part of his routine workup, the patient did have a ct scan and this identified some left kidney mass possibly on this scan. the patient denies specifically any flank pain or any bleeding and he has no recent weight loss. i spoke to the patient at length about this matter and he will consult with dr. jung, the urologist at roper hospital north. diabetes mellitus type 2. the patient remains on his usual medicines and according to him, his hemoglobin a1c and blood sugars have remained fairly satisfactory. obstructive sleep apnea. the patient does not use his mask and i cautioned him to get back using that, as this may have an effect on his coronary artery disease. abnormal liver function tests, has been present for many years and previously was thought to be due to a fatty liver. elevated blood pressure. the
******************
patient was noted in the hospital to have elevated blood pressures despite his medicine and he was asked to increase his norvasc from 5 mg to 10 mg per day. gastroesophageal reflux. the patient feels well on zantac. review of systems : reveals no specific headaches. he denies any trouble with his ears, nose or throat. he has no chronic cough or coughing blood. he denies any nausea, vomiting, black or bloody stool. he has no burning on urination. physical examination : revealed a pleasant white male in no acute distress. his blood pressure was 130 / 90, pulse was 60 and weight 207 pounds. head, ears, eyes, nose and throat were normal. the neck showed no thyroid nodes or tenderness. the chest did show a healed coronary artery bypass graft scar, but he did have chest wall discomfort to palpation in the costochondral area on the left. the lungs were clear to percussion and auscultation. heart showed a regular sinus rhythm. abdomen is soft. no liver or spleen was felt. extremities showed no cyanosis, clubbing or edema. neurologically, the patient was alert. the patient was also sent to the office for evaluation because of his kidney function and the use of the scan during the ct scanning and use of the diet. the patient was therefore ordered to have routine laboratory test including complete blood count, cbc, chem profile, lipid profile, urinalysis and i did a hemoglobin a1c because of his history of diabetes. 1. chest pain, probably due to chest wall rather than coronary artery disease according to the patient's history. 2. new discovery of left renal mass to consult with urology, dr. jung. 3. renal function to be rechecked secondary to his ct scanning and history of diabetes with glucophage, which he has restarted. 4. status post coronary artery bypass graft. 5. abnormal lfts by history. 6. diabetes mellitus. 7. obstructive sleep apnea. will follow up with the patient by phone tomorrow regarding his lab tests and also he will consult with dr. jung and has a followup appointment with me for comprehensive exam in one to two months. _ _ _ _ _ _ _ _ _ _ _ _ _ _ _ _ _ _ _ _ _ _ _ _ _ _ _ _ _ _ todd brandt, m. d. escription document : 0
******************
record date : 2068 - 12 - 12 eudowood services physician group 128 williams ct m oscar, johnny hyderabad, wi 62297 76324418 547 - 598 - 7353 12 / 12 / 2068 history of present illness : the patient is a 59 - year - old white male who comes to the office for reevaluation regarding his diabetes. he also has high blood pressure and coronary artery disease. diabetes. the patient is trying to adhere to his diet. he stays on his usual medicines, which include glucophage and glyburide. he takes an aspirin regularly and he is on his blood pressure medicines. he does not smoke. he follows closely his foot regimen and had not noticed any difficulty. he sees a foot doctor. he has not seen an eye doctor recently. he has not been to the jay hospital for his routine followup and says he will start setting up appointments with the diabetes group out in littleton, wisconsin where he lives. the patient specifically denies any increased thirst or urination. his blood sugars taken at home are approximately 140 - 160 on a fasting basis. he has not had any episodes of hypoglycemia. coronary artery disease. the patient is also followed by dr. garza. he does stay on his plavix and aspirin and also is on other medicines including atenolol, hydrochlorothiazide, norvasc, vasotec and he has not needed any nitroglycerin. he still does complain of some nonspecific chest type discomfort for which he was evaluated by dr. garza last spring. he had a cardiac catheterization. elevated cholesterol. the patient does take the lipitor. he does not have any muscle aches. slightly elevated liver function tests. he had a history of fatty liver. obstructive sleep apnea. the patient refuses to take cpap. review of systems : reveals no headaches, no difficulty with the ears, nose or throat. no neck pain, no chronic cough or sputum production and no chest pains or palpitations. no nausea, vomiting, black or bloody stools. no burning on urination. his weight has been fairly stable. physical examination : showed a pleasant white male in no acute distress. blood pressure taken by me 132 / 76, pulse 72 and weight 206 pounds. skin was moist and warm without any specific lesions. head, ears, eyes, nose
******************
and throat were normal. neck showed no thyroid nodes or tenderness. no bruits were heard. lungs were clear to percussion and auscultation. heart showed a regular sinus rhythm. s1, s2 were normal. abdomen was soft, no liver or spleen was felt. chest wall without any pain secondary to his prior coronary artery bypass graft surgery. extremities showed pulses to be satisfactory. his feet were warm. there was no sign of infection. neurologic, well oriented. light touch was found easily in his feet. impression : overall, the patient is satisfied with his health. he has followup appointment with the cardiologist and needs to follow up with the eye doctor as well. he will set up a diabetes follow up at the rappahannock medical clinic. discharge diagnoses : 1. diabetes mellitus, on oral hypoglycemic medicines, will recheck his hemoglobin a1c, recheck his urine and urine for protein. the patient does take his enalapril regularly as well. 2. coronary artery disease on multiple medicines without any severe angina. he is followed by dr. garza. his weight has been fairly stable. he has not needed to use his nitroglycerin. 3. obstructive sleep apnea. the patient refuses to take the therapy. elevated cholesterol, on lipitor. essential hypertension on medicine. left kidney mass. dr. jefferson did not feel this was any real finding. follow up will be in four to six months in my office for a comprehensive exam. routine laboratory test including cbc, hemoglobin a1c, comprehensive metabolic profile, lipid panel, urinalysis, tsh, urine microalbumin and psa were ordered today. _ _ _ _ _ _ _ _ _ _ _ _ _ _ _ _ _ _ _ _ _ _ _ _ _ _ _ _ _ _ todd brandt, m. d. escription document : 4 - 4822140 cssten tel dd : 12 / 12 / 68 dt : 12 / 12 / 68 dv : 12 / 12 / 68
******************
record date : 2070 - 09 - 24 reason for visit routine follow - up exam recent hospitalization for coronary artery disease at roper hospital northproblems non st elev mi 9 / 70 dr gil : card cath - oblique marg block - stent ( coated ) placedthe patient noted the onset of increased chest pain and was admitted to roper hospital north on september 13, 2070 - p. type of chest pain was substernal and burning with radiation to his left arm especially on exertion and was relieved with nitroglycerin. see comprehensive discharge note. the patient has had significant cardiovascular disease and is followed by dr. gil - he was on multiple drugs including beta blocker, vasotec, norvasc and plavix. he does not take prilosec the patient had negative troponin studies but his stress test did show anginal type symptoms with very low exercise. he had a cardiac catheterization done which showed obstruction of the oblique marginal and a stent was placed / since the hospitalization the patient has been ambulatory and feeling well. he had increase in his lipitor from 20 mg to 80 mg but otherwise is on the same medical protocol and i reviewed this at length with the patientcoronary artery disease - dr garzarhn : has had cardiac cath at rh - dr gil - had bypass graft 5 / 65 dr gil rnhhe has a long history of cardiac disease with stenting in the pastdiabetes mellitus type 2 - dr willis : eye appt - jhthe patient is followed by dr. willis and he does check his blood sugars at home which have been improved at approximately 150 and he has recently been started on a combination of glucophage and glipizide. he has no increased thirst or urinationessential hypertension blood pressure has been under satisfactory control on his present regimenobstructive sleep apnea - refuses cpap : refuses cpaphe has refused to use his cpapelevated cholesterol now on elevated lipitor - ldl is 52hct = 38 rpt 1 / 69 : iron, b12, folate acid, spep - ok 2069 patient did not go to hematologywe'll repeat studies hematocrit is 37. 5creat = 1. 4 - rpt 6 / 70 - to renal 8 / 70 we'll repeat studies today but according to the patient has creatinine was
******************
, diarrhea, brbpr, or melena. no dysuria or difficulty with urination.. no joint pain or swelling. no skin changes or rash. vital signs blood pressure 134 / 70pulse 60weight 208 lbexam physical exam general appearance well - appearing, nad. status post cardiac surgery scars in the past skin no rashes or suspicious lesions. heent perrla. eomi. sclerae non - icteric. tms are clear bilaterally. op is clear without erythema or exudate. neck is supple. no lad. no thyromegaly. nodes / lymphatic no nodes in cervical or supraclavicular area chest chest : a &amp; amp ; p - normal bilaterally with good air movement. no local rales or wheezing cor / cardiac regular rate, normal s1, s2. no rubs, gallops, or murmurs. abdomen soft, nontender, nondistended, + bowel sounds, no hsm extremity warm, no c / c / e. bilateral knees without effusion. pulses - good sensation - satisfactory fo light touch neurological a + ox3. cn ii - xii intact. grossly non - focal. assessment and plan overall the patient is quite satisfied chest pain has not recurred and no need for nitroglycerin coronary artery disease - i had a long talk with the patient and he understands the need to try to follow his diet and also keep his blood sugar under better control diabetes we'll recheck his hemoglobin a1c - 8. 3 and will consult with his diabetes specialist creatinine elevation will repeat - 1. 19 mild anemia will repeat - 37. 5 greater than 50 % of this 30 minute visit was spent in patient counseling regarding the above problems overall the patient is feeling better after his hospitalization he will check with the renal specialist and diabetes specialist repeat appointment in my office in a few months or sooner if any problems orders laboratory tests - as ordered follow - up appointment - _ _ _ months consultation -</t>
  </si>
  <si>
    <t>no history of MI</t>
  </si>
  <si>
    <t>The patient has a history of significant cardiovascular issues, including a recent admission for cardiac catheterization where a stent was placed due to 95% stenosis of the proximal LAD. This indicates advanced coronary artery disease (CAD). The patient is also on multiple medications for her cardiovascular condition, including clopidogrel and atenolol, which counts as two medications for CAD treatment. Therefore, she meets the inclusion criterion for advanced CAD as she has both the history of significant ischemia (stenting due to stenosis) and is taking multiple medications for CAD.</t>
  </si>
  <si>
    <t>['clopidogrel', 'lasix', 'atenolol', 'humulin nph', 'humulin regular insulin', 'lipitor', 'procrit', 'quinine']</t>
  </si>
  <si>
    <t>The model correctly identifies that the patient is on multiple medications for CAD (clopidogrel and atenolol) and has significant ischemia (95% stenosis of the proximal LAD with stent placement) as per evidence (chroma_id: '140_3_0'). However, the model does not provide evidence of a history of myocardial infarction or current angina, which are also required to fully meet the 'advanced CAD' criterion. Thus, the rationale is only partially complete.</t>
  </si>
  <si>
    <t>["140_3_0"]</t>
  </si>
  <si>
    <t>record date : 2081 - 12 - 16 office note louisville care center 43 riverside circle changchun, la 14176 xanders, ruth mr # 564 - 19 - 92 - 7 december 16, 2081 ms. xanders is a 42 - year - old woman with multiple medical problems who presents for evaluation of chronic hepatitis c. she reports having had a blood transfusion in 2059 and has had no history of other percutaneous exposure including intravenous drug use. she has had normal transaminases in the past but a positive hepatitis c antibody test. she reports no abdominal pain, nausea or vomiting, anorexia or weight loss, no diarrhea, constipation, melena or bright red blood per rectum. she has had no fevers, chills, sweats, arthralgias, myalgias or skin rash, epistaxis, easy bruising or bleeding gums and she has no insomnia or episodes of confusion. she reports a generally good energy level with some mild fatigue. past medical history : 1. hypertension. 2. diabetes. 3. chronic renal insufficiency. 4. hyperlipidemia. current medications : humulin nph 20 units qam, 15 qpm, humulin regular insulin 3 units qam, 5 qpm, lipitor 40 mg po q. h. s., procrit 3, 000 units sub q. bi week, lasix 40 mg po q. day, quinine 260 mg po q. h. s. and hyzaar 100 / 25 mg po q. day as well as naftin prn. allergies : lisinopril causes cough. family history : no history of liver disease or gi malignancies. social history : she continues to smoke but has cut back recently and she drinks alcohol approximately once a week to once every two weeks. review of systems otherwise negative for heent, cardiovascular, respiratory, gi, gu, musculoskeletal or neurological systems. on exam, she is a well - appearing woman in no acute distress. pulse 80 and regular, blood pressure 152 / 76, weight 151 pounds. heent she is anicteric with equal, round, reactive pupils and normal conjunctivae. oropharynx reveals no ulcers or icterus. neck reveals no lymphadenopathy or thyromegaly. chest is clear to auscultation and percussion. heart
******************
reveals a regular rate and rhythm, s1 and s2 are present without murmur, rub or gallop. xanders, ruth mr # 564 - 19 - 92 - 7 - 2 - december 16, 2081 abdomen is soft, nontender and non - distended with no hepatosplenomegaly or masses. extremities reveal no clubbing, cyanosis or edema. most recent labs from october 22, 2081 reveal an alt of 13, ast 19, alkaline phosphatase 78, bilirubin 0. 3, creatinine 3. 1, albumin 3. 6. impression : ms. xanders has a history of a positive hepatitis c antibody with normal lft's. today, we will check a hepatitis c rna level to see if she is in fact viremic or whether she is one of the lucky 15 % of people who clear the virus but remain antibody positive. if she does not have hepatitis c rna in her blood, than she requires no further workup. however, if she is rna positive than i would suggest a liver biopsy to assess the degree of inflammation of fibrosis in her liver and make possible plans for treatment with interferon / ribavirin. she is amenable to this and we will follow - up in two weeks by phone to discuss the results of her rna test. quanterius l. sorensen, m. d. dd : 12 / 16 / 81 dt : 12 / 19 / : 1 dv : 12 / 16 / 81 / renteria cc : susan donaldson, m. d. louisville care center 38 shawmut avenue changchun, la 14176 * * * * * * * * not reviewed by attending physician * * * * * * * *
******************
record date : 2082 - 07 - 15 internal medicine room 4b 39 mosele court xanders, ruth changchun, la 14176 56419927 ( 109 ) 932 - 5237 07 / 15 / 82 diagnosis : 1. hypertension. 2. pedal edema. 3. diabetes. hpi : ruth is a 42 year old woman who presents for follow up of medical issues as well as for new pedal edema over the past 2 weeks. when i saw her a few weeks ago, she was very dehydrated and required a decrease in dose of her lasix due to symptoms of dehydration as well as a rise in her creatinine and bun. she responded well to this and then did well for a week or so. then she saw dr. vuong who increased her dose of lasix back to 20 mg in the evening. subsequently, she developed pedal edema which, at times, is up to her knees and has been very bothersome for her. of note, she started norvasc within the past few months and it was gradually increased to 10 mg a day. she reports her blood sugars have been under excellent control, ranging from 90 - 120s - 140s especially over the past couple of weeks. she has had a couple of lows in the 40s over the past couple of months. she again has not yet followed up with dr. vicki klein as i had recommended for help with her diabetes. she reports her blood pressure in dr. vuong's office was normal as well. she denies any orthopnea, pnd, increased shortness of breath or dyspnea on exertion. no fever or chills. remainder review of systems negative. she does report sweating with meals that she is unsure how long she has had but has noted it over the past few months. medications : as noted in the record and confirmed. allergies : lisinopril causes cough. physical examination : she is a pleasant woman in no acute distress. her skin is very tanned. blood pressure 148 / 62, on repeat it is 160 / 70, pulse of 88, weight of 150, weight is up about 6 pounds for her. heent within normal limits. neck : no jvd. lungs clear to auscultation bilaterally, no crackles or rhonchi. cardiovascular exam : normal s1, s2, ii / vi systolic murmur at right sternal border. abdomen is benign.
******************
extremities : she has 1 - 2 + pitting pedal edema to mid shin. impression and plan : 42 year old woman with : 1. new pedal edema. reviewing patient's recent lab results, she does have proteinuria but it is actually improved since the last time it was checked and also her creatinine has improved. i believe the pedal edema may be related to the norvasc. therefore, i advised her to stop the norvasc and she will call me tomorrow to let me know how she is doing as it may take a few days to resolve. will consider increasing her lasix based on how she responds to discontinuing the norvasc and her labs. will check basic metabolic panel and urinalysis as well. 2. hypertension since discontinuing norvasc. will start atenolol in a low dose but advised her not to start this for the next few days. will start at 12. 5 mg a day and increase to 25 mg a day and she will follow up in the next few weeks for a repeat blood pressure check. 3. diabetes. the patient is strongly encouraged to make an appointment with dr. vicki klein regarding the diabetes to see if there is anything more we can do to change her insulin regimen. the patient to follow up with me by phone tomorrow and otherwise in the next 3 weeks for a blood pressure check and sooner if no resolution of her pedal edema. _ _ _ _ _ _ _ _ _ _ _ _ _ _ _ _ _ _ _ _ _ _ _ _ _ _ _ _ _ _ susan a. donaldson, m. d. cc : escription document : 7 - 376932 dd : 07 / 15 / 82 dt : 07 / 17 / 82 dv : 07 / 15 / 82
******************
record date : 2087 - 08 - 12 xanders, ruth 56419927 08 / 12 / 2087 quinton sparks, m. d. cardiovascular division louisville care center 08 mosele court changchun, la 14176 dear quin, just a note for the records regarding ms. xanders's recent admission to our cardiology service between 08 / 09 / 2087 and 08 / 12 / 2087. as you know, she is a lovely 47 - year - old woman with type 1 diabetes, hypertension, cigarette smoking and end - stage renal disease for which she underwent transplantation in 2083. she is now under evaluation for pancreatic transplantation. she has not had symptoms of angina or left ventricular dysfunction and lvef has been normal. an exercise test in july 2087 achieved 79 % of the maximal predicted heart rate, no chest discomfort, but 1 - mm of st depression in the lateral leads. her other recent issues have included marked anemia, possibly related to her immunosuppressive drugs ( negative upper and lower endoscopy ) and transient hyperglycemia following a glucocorticoid bolus. at the time of admission, the hematocrit remained in the low 20s and she was transfused in preparation for cardiac catheterization. appropriate bicarbonate and mucomyst therapies were administered, and we also took advantage of the precatheterization time to reinforce the importance of smoking cessation. coronary angiography on 08 / 11 / 2087 demonstrated a co - dominant system with chronic occlusion of the right coronary artery with left to right collaterals perfusing that territory. there was also a 95 % stenosis of the proximal lad. after careful consideration of the options, dr. valdez placed a cypher stent at that location successfully. she tolerated the procedure well, was ambulatory the following morning and the creatinine had actually improved to 2. 0 ; the hematocrit remained " stable " in the mid 20s. she will likely be discharged later today, following a discussion with the renal transplant service regarding augmenting her antihypertensive regime. she understands the importance of uninterrupted clopidogrel therapy, preferably for more than one year. it was a pleasure to participate in ms. xanders's care. a copy of the discharge abstract as list of discharge medications will be forwarded
******************
##tender, nondistended allograft : nontender ext : 3 + + bilateral pitting lower ext edema up to waist. neuro : a &amp; ox 3, mood okay results labs - pending today a / p : ms. xanders is a 48 y / o f w / h / o esrd 2 / 2 dm type i s / p renal tx c / b both cellular and humoral rejection. she will be admitted to the renal clinic under attending uriah aranda for further evaluation and management. 1. renal - impaired renal function but creatinine has been stable. will send urine for 24 hour protein to r / o nephrotic syndrome. 2. immunosupopression - cont. current regimen. will follow fk levels and adjust as needed. 3. cvs - hypervolemic, hypertensive with significant peripheral edema. no ivf's. will get ekg, cxr, echo while in house. 4. pulm - chf : will give lasix 200mg iv bid for diuresis. will repeat cxr 5. fen - renal diet 6. labs - cbc w / diff, bmp, ldh, albumin, po4, tacrolimus level qa. m. _ _ _ _ _ _ _ _ _ _ _ _ _ _ _ _ _ _ _ _ _ _ _ _ _ _ _ _ _ _ _ _ _ _ _ _ _ _ _ _ _ _ _ _ _ emma s. crane, pa - c renal clinic bb # 78058 staff note : patient seen by me : hx, ex, a / p confirmed. landon neville, md, renal attg</t>
  </si>
  <si>
    <t>The patient has a history of coronary artery disease (CAD) and is currently taking multiple medications for hypertension and hyperlipidemia, including atenolol, cozaar, and lipitor. However, there is no documented history of myocardial infarction (MI) or current angina. The patient has had a previous exercise tolerance test showing resolution of ischemia, but there is no indication of current ischemia or angina. Therefore, the patient does not meet the requirement of having 2 or more of the specified categories for advanced CAD.</t>
  </si>
  <si>
    <t>['aspirin 325 mg', 'atenolol 50 mg', 'clotrimazole (lotrimin) cream', 'cozaar 25 mg', 'glucophage 500 mg', 'hydralazine 10 mg', 'indocin 50 mg', 'lipitor 20 mg', 'norvasc 10 mg']</t>
  </si>
  <si>
    <t>The model rationale incorrectly states that the patient is taking multiple medications for hypertension and hyperlipidemia, but fails to recognize that the patient is on multiple medications specifically for CAD, including aspirin, atenolol, cozaar, lipitor, and norvasc (chroma_id: '153_3_0'). Additionally, the model does not acknowledge the patient's history of stenting and past ischemia resolution (chroma_id: '153_2_0'), which could be relevant to the CAD criterion. This oversight leads to an incorrect conclusion about the patient's eligibility.</t>
  </si>
  <si>
    <t>["153_3_0", "153_2_0"]</t>
  </si>
  <si>
    <t>record date : 2076 - 12 - 06 internal medicine associates mesa vista hospital reason for visit follow up after recent hospitalization. history of present illness was admitted to lcmh after an episode of syncope. had a brief episode where he had light - headedness followed by slump to ground and brief loc. no seizure activity. work - up at lcmh unrevealing - holter, echo, enzymes and brain scan without issue. i had let them know about the carotid bruit and the result of cnis. no recurrence, feeling otherwise well. they added lipitor to his regime. change in therapies and renewals aspirin 325 mg po qd qty : 90 refills : 3 start : 1 / 2 / 2076 lipitor 20mg po qd qty : 90 refills : 3 start : 12 / 06 / 2076 physical examination pulse 68 blood pressure 138 / 88 both arms general appearance well developed, well nourished, no acute distress. heent nc / at, perrl, eomi, o / p clear without erythema or exudates. neck jvp flat ; carotid bruit as before, no goiter. chest cta b w / o c / w / r. no dullness to precussion, no egophony. cor pmi at 5th ics, mcl. rrr nl s1, s2 without m / r / g. abdomen nt / nd, no hsm. normal active bowel sounds. assessment and plan dec 76 continue current meds. he is due to be seen by neuro at lcmh - no need to refer to neuro here. call me if recurs, reassured likely vaso - vagal or due to bp meds. nov 76 - htn - add hctz, check labs in two weeks. dm - continue glucophage. hba1c next visit. screening - to address next visit. flu shot given. case reviewed with dr. lee. no med change for now. pt's wife will reduce high na + sauces in her food preperation. pt will walk min of 5x / week for 30 - 40 min. rtc x 1 week for b / p check. pt refuses to purchase a b / p cuff for home moitoring. will check labs at next visit. disposition see me in three months. signed electronically by w. ronnie le md
******************
record date : 2077 - 01 - 21 internal medicine associates mesa vista hospital personal data and overall health primary care physician, ronnie le, md. major problems syncope syncopal episode. s : the patient speaks korean with limited english and is here with his wife who informed me that they are here for a followup visit after an inpatient hospitalization at as best as i could understand it was abbott hospital. the patient is on multiple medications. however does not have a list of his medications, and according to the record, the patient is on atenolol, norvasc, hydrochlorothiazide, zestril, metformin, and lipitor. the patient feels well. no shortness of breath. no chest pain. no recurrent syncopal episodes. o : see physical examination. a : the patient with stable hypertension, diabetes, and elevated cholesterol. p : we will check labs today. we will verify the patient has a carotid ultrasound scheduled, and the patient is scheduled to follow up with dr. le in march 2077. may return to clinic prn if needed. physical examination pulse 64 blood pressure 130 / 60 right arm 130 / 60 chest lungs clear to auscultation. carotid, marked bruit on the right note transcribed by outside service transcription errors may be present. signed electronically by amy jenkins on jun 30, 2077
******************
record date : 2077 - 07 - 03 internal medicine associates mesa vista hospital reason for visit f / u labs dm, presync, htn, hyperlipidemia major problems chest pain june / june77 - no recurrence. hypertension the patient has been treated since november of 2076 with hydrochlorothiazide in addition to his atenolol and lisinopril and norvasc. since that time, his creatinine has risen significantly. cre stable at 2. 2. has htn today 160 / 90 and microalb quite high. will d / c hctz and double lisinopril to 40, returning in two weeks for review of sx / labs. diabetes mellitus taking glucophage 500mg po bid. he has stable nocturia without change. we will recheck his renal function and his hemoglobin a1c. he is not fasting today, and we will check fasting in the near future syncope he was admitted to leake county memorial hospital in december - january 2077. it was thought that he was symptomatic because of dehydration. had frank sync 1 / 10, 77, and also nov 18 lost consciousness. there was no sense of tia or unsteadiness on his feet. he has a carotid bruit and was scheduled to have another ultrasound in the last few months. however, no ultrasound is at hand. three or four years ago there was insignificant carotid disease documented. has no symptoms now, no dizziness, sync, but + bruit, and distal peripheral vascular disease, we will proceed to re - image. renal failure creatinine is elevated high microalbumin and urind 2 = alb. will check 24 hour urine after stable regimen. health maintenance no cigarettes. no alcohol. exercises 30 minutes per day. there is recent normal ldl cholesterol on 20 mg of lisinopril. lfts not done. no sx tc 169, ldl 86 and hdl 57 tis june. coronary artery disease the patient is status post stent. he had exercise tolerance test after the stenting showing resolution of his inferoposterior ischemia. this was four to five years ago, and the patient has been stable since. his last exercise test was in 2072 with submaximal exercise loads.. other problems smoking never diabetes insipidus error
******************
smoking status : former smoker more than 10 yrs ago. change in therapies and renewals lisinopril 40 mg po qd qty : 90 refills : 3 start : 1 / 2 / 2076 hydrochlorothiazide 12. 5 mg po qd qty : 30 refills : 6 start : 11 / 1 / 2076 end : 7 / 3 / 2077 - inactivated lotrimin cream top bid qty : 60 g refills : 5 start : 7 / 3 / 2077 to feet review of systems gu - - no frequency, dysuria nocturia 2x, no change. he has intermittent claudication at about 5 blocks 10 minutes - has had what sounds like pvrs done. right is more consistently a problem. physical examination pulse 56 blood pressure 160 / 80 respiratory rate 12 weight 127 foot exam good hygiene and good sensation by filament. has t pedis bilat and r is &gt; &gt; left. long toenails some onychomychosis, no cellulitis. extrem no edema, no pt or dp pulses but toes warm. musc skel no bony deformities. height disposition f / utwo weeks. pt wants me to be pcp. signed electronically by oswald m jeffers md on jul 07, 2077
******************
record date : 2079 - 01 - 05 internal medicine associates mesa vista hospital reason for visit followup of multiple medical problems. major problems hand pain the patient has been treated with indocin and had resolution of his wrist swelling and pain, suggesting gout. a : stable. p : indocin prn. we will check renal function today. claudication the patient does not complain of pain today. he has vascular disease and dr. rico as well as our renal consultants were in contract about the optimal management and the worry of his renal artery stenosis. i have referred him back to renal where he has not been seen in many months. coronary artery disease there are no new symptoms. he had chest pain and an admission to colonial manor several months ago. there, an adenosine mibi showed inferior scar and no reversible ischemia. cardiac function was 67 %. there was diffuse contraction thickening of the walls. diabetes mellitus the patient remains on metformin, and hemoglobin a1c will be rechecked. hypertension the patient remains on a complex regimen with the assistance of the renal service. he remains on hydralazine, atenolol, cozaar, and norvasc. his blood pressure has been stable by his report, and we get 150 / 80, repeated by me 150 / 70 today. a : metastable hypertension. p : follow up renal service and check bun and creatinine today. renal failure has proteinuria and a creatinine approaching 3. i have asked him to reschedule a followup with the renal service. active medications aspirin 325 mg 1 tab po qd atenolol 50 mg 1 tab po qd clotrimazole ( lotrimin ) cream top bid to feet cozaar 25mg po qd glucophage 500 mg 1 tab po qd hydralazine 10 mg po tid indocin 50 mg po tid take with food lipitor 20 mg 1 tab po qd lotrisone cream prn norvasc 10 mg 1 tab po qd review of systems no chest pain, palpitations, shortness of breath, dyspnea on exertion, orthopnea, or leg swelling or pain. physical examination pulse 70 blood pressure 150 / 80, repeated by me 150 / 70 weight 132 pounds general appearance well developed and well nourished in no apparent distress neck carotids 2 +. no bruit detected
******************
chest clear to panda without rale or dullness cor s1 and s2 without significant murmur abdomen bowel sounds positive, cannot detect bruit today extrem feet are well profused but only dp on the right is palpable assessment and plan renal failure, diabetes, coronary disease, and gout. we will check labs for stability. the patient had a report of apical thickening on a chest film at colonial manor and will repeat the chest x - ray today. the patient is to follow up with me in short order in the renal service. addendum chest x - ray was reviewed, and pleural thickening is stable since 2075. there is no chf or parenchymal disease. there is vascular calcification of the aorta as well as coronary vessels. note transcribed by outside service transcription errors may be present. signed electronically by jeffers, oswald on jan 21, 2079</t>
  </si>
  <si>
    <t>past ischema missed / clubbed with current angina requirement</t>
  </si>
  <si>
    <t>The patient's clinical notes indicate a history of significant surgical procedures, including a left femoral-popliteal bypass and a transmetatarsal amputation. While these surgeries are not specifically categorized as intra-abdominal surgeries, the presence of a transmetatarsal amputation suggests a history of complications related to diabetes and peripheral vascular disease, which may imply prior surgical interventions. However, there is no explicit mention of intra-abdominal surgery such as small/large intestine resection or small bowel obstruction. Therefore, it cannot be definitively concluded that the inclusion criterion is met.</t>
  </si>
  <si>
    <t>['amitriptyline', 'atenolol', 'aspirin', 'hydrochlorothiazide', 'insulin', 'lasix', 'lisinopril', 'norvasc', 'synthroid', 'zocor', 'zoloft']</t>
  </si>
  <si>
    <t>The model rationale assumes a history of intra-abdominal surgery based on the presence of a transmetatarsal amputation and peripheral vascular disease, which is not explicitly supported by the evidence. The evidence provided (chroma_id: '156_4_0') confirms surgeries related to peripheral vascular disease but does not mention any intra-abdominal surgeries. Therefore, the rationale relies on assumptions not directly supported by the evidence.</t>
  </si>
  <si>
    <t>["156_4_0"]</t>
  </si>
  <si>
    <t>record date : 2074 - 07 - 20 7 - 20 - 74 problems : 1. multinodular goiter. 2. noninsulin dependent diabetes mellitus. 3. diabetic retinopathy. 4. history of smoking. medications : ecotrin, 1 q. d., synthroid, 0. 5 mg. q. d. patient has not been taking in 3 months after running out of prescription. micronaise 5 mg. q. d. premarin 0. 625 mg. q. d. hpi : mrs. stephenson returns for her follow - up visit for her diabetes and multinodular goiter. she says that she has no new complaints since the last visit. she denies any episodes of pyuria, dyspnea, weight loss or weight gain. she denies any shortness of breath, chest pain and ankle edema. she has seen her ophthalmologist several months ago and has another visit today. physical exam : blood pressure is 125 / 90. there are no new changes on exam. impression and plan : 1. adult onset diabetes mellitus. patient's hemoglobin a1c in 2 / 74 was 10. 8. will recheck hemoglobin on this visit as well as the ua ketones and hemoglobin once she remains elevated on the present dose of micronase will consider increasing. 2. multinodular goiter. patient's right hemithyroid has unchanged on exam. she has been off of her synthroid for 3 months. we will refill her prescription and reassess her goiter after 6 months of treatment. 3. diabetic retinopathy. ophthalmology follow - up today. 4. smoking history. patient quit smoking in 2 / 74 after using a habitrol patch and has not smoked since. 5. hypercholesteremia. patient had an elevated cholesterol of 319 and triglycerides of 751. although these were not fasting levels. it is suspected the patient will need to have medications to control her hypoglycemia. will set her up with the nutrition department for now for a modified diet. 7 - 20 - 74 6. elevated blood pressure. blood pressure is borderline at this point. will recheck and have the patient adhere to her no - added salt diet. patient will follow up in 10 / 74. will call the patient if her micronase dose needs to be
******************
and her soles of her feet, and no peripheral edema. assessment / plan : 1 ) diabetes mellitus. will continue on micronase 10 mg. a day, check a hemoglobin a1c, and send her to the eye doctor. we have talked about good foot hygiene, and she will continue to check her urine dipsticks. 2 ) history of multinodular goiter. i will send a tsh today to assess her dlc internal medicine associates stephenson, brenna page 2 92819461 8 - 30 - 75 need for synthroid replacement. 3 ) routine health screening. she does not need a pap smear. she has had a tah ; however, i will perform a mammogram on her today. she will come back and see me in one month to get the results of these tests, and we will make treatment decisions at that time. _ _ _ _ _ _ _ _ _ _ _ _ _ _ _ _ _ _ _ _ _ _ _ _ _ olivia jiang, m. d. sc : iq : 033x dd : 9 - 01 - 75 dt : 9 - 03 - 75 dv : 8 - 30 - 75 * * * * * * * * approved but not reviewed by attending provider * * * * * * * *
******************
record date : 2083 - 12 - 04 dlc emergency dept visit stephenson, bredna 928 - 19 - 46 - 1 visit date : 12 / 04 / 83 the patient was seen 12 / 04 / 83 with dr. key. the patient was interviewed and examined by me. resident's note reviewed and confirmed. see chart for details. history of presenting complaint : the patient is a 65 year old woman with history of diabetes, hypertension, and coronary artery disease who presents with one week of exertional dyspnea, and orthopnea. also complains of numbness and coolness in her left lower extremity for the past 24 hours. no chest pain / back pain / abdominal pain. no fever or chills. past medical history : diabetes, hypertension, hypothyroidism, coronary artery disease. no prior documented history of congestive heart failure. medications : atenolol, imdur, lasix, lipitor, metformin, synthroid, zantac, vioxx, lisinopril, ecotrin, avandia, micronase. social history and family history : nonsmoker. lives alone. physical examination : no respiratory distress, afebrile, pulse 88, respirations 15, blood pressure 148 / 89, pulse ox 98 % on room air. cardiovascular examination is notable for jvp at 10 cm, regular rate and rhythm with frequent premature beats and s3 gallop. she has 2 + femoral pulse on the right, 1 + femoral pulse on the left. she has 1 + dorsalis pedis on the right, absent dorsalis pedis pulse on the left. she has symmetric 2 + radial pulses. her lungs have rales at both bases. her breathing is nonlabored. abdomen is soft and nontender, no masses or bruits in the abdomen. extremity examination is notable for cool left lower extremity with 1 + edema to the knee. laboratory evaluation : chest x - ray shows pulmonary edema. electrocardiogram shows normal sinus rhythm with frequent premature ventricular contractions and nonspecific t wave abnormality with change from prior electrocardiogram. therapy rendered / course in ed : the plan is aspirin, heparin, lasix, nitropaste, cardiology consult, check cardiac enzymes, troponin, bnp, echocardiogram and lower extremity non
******************
##invasive vascular studies. primary care physician, dr. patricia quebedeaux, notified. critical care time : 30 minutes. final diagnosis : 1. new onset congestive heart failure. 2. cool left lower extremity, rule out venous versus arterial thrombus. disposition ( including condition upon discharge ) : the patient is currently in stable condition. _ _ _ _ _ _ _ _ _ _ _ _ _ _ _ _ _ _ _ _ _ _ _ _ _ _ _ _ _ _ _ _ _ _ _ he342 / 20225 brody ohara, m. d. bo907 d : 12 / 04 / 83 t : 12 / 04 / 83 dictated by : brody ohara, m. d. bo907 * * * * * * * * not reviewed by attending physician * * * * * * * *
******************
record date : 2086 - 07 - 15 edvisit ^ 92819461 ^ stephenson, bredna ^ 07 / 15 / 86 ^ wallace, velma i saw this patient on 07 / 15 / 2086 in conjunction with dr. echols. i confirm that i have interviewed and examined the patient, reviewed the resident's documentation on the patient's chart, and discussed the evaluation, plan of care, and disposition with the patient. chief complaint : a 68 - year - old female with leg pain. history of present illness : the patient with known coronary artery disease, peripheral vascular disease, and diabetes, status post left fem - pop bypass and transmetatarsal amputation of her left foot at the siouxland on 05 / 02 / 2086. this was complicated by acute renal failure with creatinine between 1. 6 and 2. 4 and labile sugars. she was discharged to rehab on 04 / 19 / 2086 for approximately 1 month. subsequently, she developed left thigh erythema, swelling, and pain along the incision site yesterday. she has had no fevers, nausea, or vomiting but has had difficulty ambulating due to pain, denies any diarrhea but has had some mild stomach upset. past medical history : remarkable as i said for hypertension, diabetes, chf, chronic renal insufficiency, peripheral vascular disease, and hypothyroidism. she had mibi in 2084 with lad and d1 lesion. her ef was 35 %. she had a cabg in 2083. social history, family history, and review of systems are as per the written note. medications : amitriptyline, atenolol, aspirin, hydrochlorothiazide, insulin, lasix, lisinopril, norvasc, synthroid, zocor, and zoloft. allergies : none. physical examination : the patient is awake and alert, in no acute distress, however, distinctly uncomfortable. vital signs : temperature is 97. 2, pulse 59, respiratory rate 20, blood pressure 148 / 67, and oxygen saturation is 97 % on room air. for full physical exam findings, please see the resident's written note. specifically, heent, neck, abdominal exam, and neurologic exams are within normal limits as documented. respiratory exam reveals crackles at the bases but no respiratory distress. cardiovascular exam : regular rate and rhythm with 2 / 6
******************
systolic ejection murmur at the left upper sternal border. musculoskeletal exam : the fem - pop incision on the left leg is concerning for purulent drainage along the incision site, especially along the upper aspect of the upper thigh. there is approximately an area of 8 x 5 cm of erythema, induration, and tenderness surrounding the area draining purulent material. the patient also has a transmetatarsal amputation. the wound there is clean, dry, and intact. laboratory data : cbc and electrolytes remarkable for white blood count of 10. 9, bun and creatinine ratio of 30 : 1. 4 respectively. emergency department course : surgery was consulted regarding this likely wound infection. vancomycin, levofloxacin, and flagyl were their request for antibiotics. these were administered in the emergency department, and the patient will be admitted for likely operative debridement of this wound infection. * * * * * * * * not reviewed by attending physician * * * * * * * * primary diagnosis : postsurgical infection. secondary diagnosis : diabetes. tertiary diagnosis : peripheral vascular disease. disposition : admitted. _ _ _ _ _ _ _ _ _ _ _ _ _ _ _ _ _ _ _ _ _ _ _ _ _ _ _ _ _ _ wallace, velma md d : 07 / 19 / 86 t : 07 / 19 / 86 dictated by : wallace, velma escription document : 2 - 8532294 bf</t>
  </si>
  <si>
    <t>intra-abdominal surgery not mentioned</t>
  </si>
  <si>
    <t>The patient has a history of paroxysmal atrial fibrillation and has been treated with verapamil and atenolol, which are both cardiovascular medications. However, there is no documented history of myocardial infarction (MI) or current angina. The patient has experienced chest pain that was treated as unstable angina, but it is unclear if this qualifies as current angina under the inclusion criteria. Therefore, the patient does not meet the requirement of having 2 or more categories of advanced cardiovascular disease.</t>
  </si>
  <si>
    <t>['verapamil', 'atenolol', 'premarin']</t>
  </si>
  <si>
    <t>The model rationale incorrectly states that the patient does not meet the criterion for advanced CAD. Evidence shows the patient was treated for chest pain suspicious for unstable angina with nitroglycerine and heparin (chroma_id: 167_2_0), which suggests current angina. Additionally, the patient is on two medications, verapamil and atenolol, which are used for cardiovascular conditions (chroma_id: 167_1_0, 167_1_1). Thus, the patient meets two categories: (a) and (c).</t>
  </si>
  <si>
    <t>["167_1_0", "167_1_1", "167_2_0"]</t>
  </si>
  <si>
    <t>record date : 2078 - 11 - 10 november 10, 2078 tanae shirley, m. d. obstetrics callaway district hospital 97 jared circle falmouth al 98623 re : irene yarbrough cdh # 810 86 43 7 dear dr. shirley : thank you for referring irene yarbrough for evaluation of her atrial fibrillation. mrs. yarbrough is 55 years old. over the past year she had had menorrhagia and underwent endometrial biopsy in september of 2078 followed by total abdominal hysterectomy in early october of 2078. her post - operative course was complicated by a pelvic abscess for which she was rehospitalized in late october and during that hospitalization had an episode of atrial fibrillation which reverted spontaneously to sinus rhythm. the episode was accompanied by some substernal chest heaviness but no other symptoms and she was not aware of any palpitations. she was placed on verapamil 240 mg daily and has not had any symptomatic recurrences. her abdominal incision is open but healing and she has been recovering well. she has no prior cardiac history. she specifically denies any exertional chest pain, palpitations, or transient neurologic symptoms. she can climb a flight of stairs at her own pace but is mildly dyspneic at the top of the stairs. she feels that her exertional capacity has increased somewhat over the past year and a half since she stopped smoking. she does not have a known history of hypertension, however vna has been documenting blood pressures in the range of 130 to 190 mm hg systolic with diastolic pressures ranging from 72 to 110 mm hg despite therapy with verapamil. there is no prior history of syncope. page two re : irene yarbrough cdh # 810 86 43 7 november 10, 2078 her current medications are verapamil 240 mg daily as above and premarin. she has gi intolerance to several analgesic medications. she previously smoked two packs per day but quit a year and a half ago of her own volition without any particular change in her health precipitating this. she rarely drinks ethanol. she has not had any prior surgeries. family history is negative for premature coronary artery disease. review of systems is negative for thyroid disease and a tsh was normal during
******************
her last admission. physical examination reveals a healthy - appearing obese woman sitting comfortably with a blood pressure of 140 / 90, heart rate 73 and regular. heent is externally unremarkable. there is no lid lag and no thyromegaly. carotids are palpable bilaterally. lungs are clear to auscultation. cardiac exam reveals somewhat distant heart tones and i am not able to palpate the apical impulse. there is a soft systolic murmur at the left sternal border. abdomen is soft and nontender. there is a healing surgical incision in the lower abdomen. extremities are without edema. dorsalis pedis pulses are easily palpable. the 12 - lead electrocardiogram shows sinus rhythm at 73 bpm with a pr interval of. 18, qrs. 08. there are low amplitude t waves in the lateral precordium and inverted t waves in i and avl with slightly leftward axis. an echocardiogram performed during her last hospitalization was normal, although with some mild evidence of ventricular hypertrophy. my impression is that ms. yarbrough has had one episode of atrial fibrillation in the perioperative period. she probably has mild labile hypertension which has not been previously treated. this would explain her electrocardiographic changes and the echocardiogram as well as the possible predisposition to atrial fibrillation. i took the liberty of switching her from verapamil 240 mg daily to atenolol 50 mg daily. once her incision is further healed we will arrange for her to have an exercise tolerance test to get some reassurance regarding the possible co - existence of coronary artery disease in view of her mild electrocardiographic abnormalities in atrial fibrillation. page three re : irene yarbrough cdh # 810 86 43 7 november 10, 2078 will see her again in six weeks at which time she will have the exercise tolerance test. we cautioned her to take her pulse on a daily basis and report to us if it becomes irregular and rapid. we also gave her a prescription for nitroglycerin 0. 4 mg and instructions on how to take this medication in the event of a recurrence of the substernal chest discomfort which accompanied her transient atrial fibrillation. thank you very much for allowing me to participate in her care. sincerely, paul n. shelton, m.
******************
d. / xing * * * * * * * * not reviewed by attending physician * * * * * * * *
******************
record date : 2079 - 03 - 10 cdh emergency dept visit yarbrough, irene 810 - 86 - 43 - 7 visit date : 03 / 10 / 79 history of presenting complaint : this patient was seen with dr. nettles, emergency medicine resident. the chief complaint, history of present illness, past medical history, medications, allergies, social history, family history and review of systems are as noted by dr. nettles on the record and were reviewed with him and with the patient. briefly, this is a 55 year old woman who presented with chest pain which was epigastric and substernal in nature, essentially sharp and non - radiating that had come on at rest. she has several cardiac risk factors including hypertension, obesity and hormone replacement but had no specific cardiac history. her symptoms did not resolve with mylanta. physical examination : as noted by dr. nettles and is most noteworthy for normal heart sounds, although she does have a ii / vi systolic ejection murmur at the apex ( the upper right sternal border ). laboratory evaluation : an electrocardiogram does not show acute changes but does have t wave inversions in v1 to v3. these were previously noted in 10 / 78. therapy rendered / course in ed : the patient required nitroglycerine and nitroglycerine, iv nitroglycerine and iv heparin with some morphine to relieve her pain. she also received lopressor 25 mg iv and was given some gi meds. she eventually became pain - free, although she does admit to a residual mild discomfort in her chest. there are no electrocardiographic changes. impression : i concur with dr. nettles that this patient has chest pain suspicious for unstable angina. she has responded well to aggressive treatment of this and she will be admitted for further evaluation. final diagnosis : chest pain. disposition ( including condition upon discharge ) : admission. condition satisfactory. _ _ _ _ _ _ _ _ _ _ _ _ _ _ _ _ _ _ _ _ _ _ _ _ _ _ _ _ _ _ _ _ _ _ _ mr190 / 0660 anthony g. petty, m. d. ap06 d : 03 / 10 / 79 t : 03 / 10 / 79 dictated by : anthony g. petty, m. d. ap06 * * * * * * * * not reviewed by attending physician * * * * * * * *
******************
or worrisome skin lesions. neurological : no seizures, no migraines, no sensory or motor symptoms. psychiatric : no depression, anxiety or altered mental status. hematological : no bleeding or bruising, no pallor or shortness of breath, no recurrent infections. all other systems reviewed and were negative for any further symptoms. past medical history : paroxysmal a - fib on coumadin htn hyperlipidemia cad s / p mi, recent mibi cardiac spect w / o flow - limiting cad niddm ( unknown last hgb a1c ) recurrent pancreatitis ( last episode 10 / 89 ) obesity s / p cholecystectomy for symptomatic cholelithiasis s / p r tka in 2083, l tka in 4 / 88 recent egd w / findings of submucosal lesion in prepyloric area which on eus appears to be a gastric fold without intramural lesion ( per report ) pre - admission medication list : 1. spironolactone ( aldactone ) 25 mg po qd 2. amitriptyline hcl 10 mg po qhs 3. warfarin sodium ( coumadin ) 2 mg po qpm or as directed every day except saturday, on saturday take 1mg qhs 4. gabapentin 300 mg po tid 5. atorvastatin ( lipitor ) 20 mg po qd 6. metformin 500 mg po qd 7. nadolol 40 mg po qd 8. omeprazole ( prilosec ) 40 mg po qd 9. verapamil sustained release ( verapamil s. r. ) 180 mg po qd allergies : latex ( facial swelling, itching ), erythromycins ( prolonged qt interval ) family history : unremarkable social history : smoking : 2ppd x 54 yrs alcohol : rare illicits : none contact : debra jaquez ( daughter ) : 901 - 063 - 0839 - - - - - - - - - - - - - - - - - - - - - - - - - - - - - - - - - - - physical exam : t 96. 0f hr 65 bp 116 / 67 rr 18 spo2 97 % on ra general : obese. no apparent distress / pain, following all commands. head
******************
- - - - - - - - - - - - - assessment : 66 yo woman h / o chronic pancreatitis, cad, hyperlipidemia here with likely acute on chronic pancreatitis. plan : gi - pancreatitis. pt's abd pain c / w previous episodes of pancreatitis, lipase moderately elevated ( never has been extremely elevated ), leukocytosis. ddx includes cardiac chest pain, hepatitis, pna, aaa, aortic dissection, colitis, enteritis, peptic ulcer dz. pt's ekg not concerning for mi, liver enzymes are wnl, has no respiratory sx, has no diarrhea, and is hemodynamically stable. pancreatitis is therefore most likely. - - npo - - hydrate with ns. rec'd 1l ns in the ed, does not appear volume - down. will give another 1l bolus, fluids at 125 / h - - etiology for pancreatits unclear. contact her gastroenterologist, dr. bert lord, to notify of this admission and to get previous records - - manage pain w / dilaudid - 1mg iv effective in ed. cv. pt w / h / o htn, cad, paroxysmal a - fib. - - continue warfarin 2mg qhs except saturday, 1mg qhs on saturday - - check inr to ensure pt therapeutic on warfarin - - continue nadolol - - continue spironolactone - - hold verapamil sustained release, start verapamil 60 mg q8h b / c bp a bit low - - substitute for lipitor 20mg qhs per hospital formulary renal. pt's creatinine has been trending up over the last year,? possible chronic renal failure. also possibilty of mild arf in setting of dehydration. - - check ua - - f / u as outpt endocrine. pt w / dm on metformin. - - send hgb a1c - - cover with ssi while inpt neuro. - - continue gabapentin psych. - - continue amitriptyline 10 mg qhs fen. - - npo - - hydrate as above dvt prophylaxis. - - dalteparin 5000u sq qday code status :</t>
  </si>
  <si>
    <t>temporal requirement difficult to check - last date of patietnrecord is missing??</t>
  </si>
  <si>
    <t>The patient is taking several medications, but none of them are explicitly dietary supplements. However, atorvastatin and omega-3 fatty acids (not listed but often considered) could be seen as dietary supplements in some contexts. Since the criterion is lenient and broad, and considering that atorvastatin is commonly used for cholesterol management, it could be inferred that the patient meets the criterion for having consumed a dietary supplement in the past 2 months.</t>
  </si>
  <si>
    <t>['spironolactone (aldactone) 25 mg po qd', 'amitriptyline hcl 10 mg po qhs', 'warfarin sodium (coumadin) 2 mg po qpm or as directed every day except saturday, on saturday take 1mg qhs', 'gabapentin 300 mg po tid', 'atorvastatin (lipitor) 20 mg po qd', 'metformin 500 mg po qd', 'nadolol 40 mg po qd', 'omeprazole (prilosec) 40 mg po qd', 'verapamil sustained release (verapamil s. r.) 180 mg po qd']</t>
  </si>
  <si>
    <t>The model incorrectly assumes atorvastatin could be considered a dietary supplement. Atorvastatin is a prescription medication for cholesterol management and not typically classified as a dietary supplement. The model also mentions omega-3 fatty acids, but they are not listed in the patient's medications. This reliance on assumptions not supported by the evidence leads to a misclassification. The evidence provided (rank 4) lists the patient's medications, none of which are dietary supplements.</t>
  </si>
  <si>
    <t>["167_3_1"]</t>
  </si>
  <si>
    <t>record date : 2078 - 11 - 10 november 10, 2078 tanae shirley, m. d. obstetrics callaway district hospital 97 jared circle falmouth al 98623 re : irene yarbrough cdh # 810 86 43 7 dear dr. shirley : thank you for referring irene yarbrough for evaluation of her atrial fibrillation. mrs. yarbrough is 55 years old. over the past year she had had menorrhagia and underwent endometrial biopsy in september of 2078 followed by total abdominal hysterectomy in early october of 2078. her post - operative course was complicated by a pelvic abscess for which she was rehospitalized in late october and during that hospitalization had an episode of atrial fibrillation which reverted spontaneously to sinus rhythm. the episode was accompanied by some substernal chest heaviness but no other symptoms and she was not aware of any palpitations. she was placed on verapamil 240 mg daily and has not had any symptomatic recurrences. her abdominal incision is open but healing and she has been recovering well. she has no prior cardiac history. she specifically denies any exertional chest pain, palpitations, or transient neurologic symptoms. she can climb a flight of stairs at her own pace but is mildly dyspneic at the top of the stairs. she feels that her exertional capacity has increased somewhat over the past year and a half since she stopped smoking. she does not have a known history of hypertension, however vna has been documenting blood pressures in the range of 130 to 190 mm hg systolic with diastolic pressures ranging from 72 to 110 mm hg despite therapy with verapamil. there is no prior history of syncope. page two re : irene yarbrough cdh # 810 86 43 7 november 10, 2078 her current medications are verapamil 240 mg daily as above and premarin. she has gi intolerance to several analgesic medications. she previously smoked two packs per day but quit a year and a half ago of her own volition without any particular change in her health precipitating this. she rarely drinks ethanol. she has not had any prior surgeries. family history is negative for premature coronary artery disease. review of systems is negative for thyroid disease and a tsh was normal during
******************
her last admission. physical examination reveals a healthy - appearing obese woman sitting comfortably with a blood pressure of 140 / 90, heart rate 73 and regular. heent is externally unremarkable. there is no lid lag and no thyromegaly. carotids are palpable bilaterally. lungs are clear to auscultation. cardiac exam reveals somewhat distant heart tones and i am not able to palpate the apical impulse. there is a soft systolic murmur at the left sternal border. abdomen is soft and nontender. there is a healing surgical incision in the lower abdomen. extremities are without edema. dorsalis pedis pulses are easily palpable. the 12 - lead electrocardiogram shows sinus rhythm at 73 bpm with a pr interval of. 18, qrs. 08. there are low amplitude t waves in the lateral precordium and inverted t waves in i and avl with slightly leftward axis. an echocardiogram performed during her last hospitalization was normal, although with some mild evidence of ventricular hypertrophy. my impression is that ms. yarbrough has had one episode of atrial fibrillation in the perioperative period. she probably has mild labile hypertension which has not been previously treated. this would explain her electrocardiographic changes and the echocardiogram as well as the possible predisposition to atrial fibrillation. i took the liberty of switching her from verapamil 240 mg daily to atenolol 50 mg daily. once her incision is further healed we will arrange for her to have an exercise tolerance test to get some reassurance regarding the possible co - existence of coronary artery disease in view of her mild electrocardiographic abnormalities in atrial fibrillation. page three re : irene yarbrough cdh # 810 86 43 7 november 10, 2078 will see her again in six weeks at which time she will have the exercise tolerance test. we cautioned her to take her pulse on a daily basis and report to us if it becomes irregular and rapid. we also gave her a prescription for nitroglycerin 0. 4 mg and instructions on how to take this medication in the event of a recurrence of the substernal chest discomfort which accompanied her transient atrial fibrillation. thank you very much for allowing me to participate in her care. sincerely, paul n. shelton, m.
******************
record date : 2079 - 03 - 10 cdh emergency dept visit yarbrough, irene 810 - 86 - 43 - 7 visit date : 03 / 10 / 79 history of presenting complaint : this patient was seen with dr. nettles, emergency medicine resident. the chief complaint, history of present illness, past medical history, medications, allergies, social history, family history and review of systems are as noted by dr. nettles on the record and were reviewed with him and with the patient. briefly, this is a 55 year old woman who presented with chest pain which was epigastric and substernal in nature, essentially sharp and non - radiating that had come on at rest. she has several cardiac risk factors including hypertension, obesity and hormone replacement but had no specific cardiac history. her symptoms did not resolve with mylanta. physical examination : as noted by dr. nettles and is most noteworthy for normal heart sounds, although she does have a ii / vi systolic ejection murmur at the apex ( the upper right sternal border ). laboratory evaluation : an electrocardiogram does not show acute changes but does have t wave inversions in v1 to v3. these were previously noted in 10 / 78. therapy rendered / course in ed : the patient required nitroglycerine and nitroglycerine, iv nitroglycerine and iv heparin with some morphine to relieve her pain. she also received lopressor 25 mg iv and was given some gi meds. she eventually became pain - free, although she does admit to a residual mild discomfort in her chest. there are no electrocardiographic changes. impression : i concur with dr. nettles that this patient has chest pain suspicious for unstable angina. she has responded well to aggressive treatment of this and she will be admitted for further evaluation. final diagnosis : chest pain. disposition ( including condition upon discharge ) : admission. condition satisfactory. _ _ _ _ _ _ _ _ _ _ _ _ _ _ _ _ _ _ _ _ _ _ _ _ _ _ _ _ _ _ _ _ _ _ _ mr190 / 0660 anthony g. petty, m. d. ap06 d : 03 / 10 / 79 t : 03 / 10 / 79 dictated by : anthony g. petty, m. d. ap06 * * * * * * * * not reviewed by attending physician * * * * * * * *
******************
record date : 2090 - 07 - 12 nightfloat admit note - - - - - - - - - - - - - - - - - - - - - - - - - - - - - - - - - - - name : yarbrough, irene h mrn : 81086437 date of admission : 7 / 12 / 90 pcp : intern : gaines attending : silva - - - - - - - - - - - - - - - - - - - - - - - - - - - - - - - - - - - chief complaint : abdominal pain x 4 days. hpi : patient is a 66 year - old female w / h / o cad, hyperlipidemia, niddm, and chronic pancreatitis who presents with four days of epigastric pain. pt has had four days constant epigastric pain, 5 - 6 / 10 intermittently increasing to 8 / 10, characterized as " just pain, " with occasional radiation to the back, and which is made worse by po intake. pt notes this pain is very similar to past episodes of pancreatitis. pt also c / o nausea but denies vomiting, fever, chills, diarrhea, constipation, blood per rectum. ed course : vitals : t 96. 3f, p 90, rr 20, bp 149 / 87, spo2 96 % on ra. given morphine 4mg iv x1, gi cocktail, zofran 1 mg iv x1, dilaudid 1mg iv x1, and 1l ns. ros : constitutional : no fever or chills. no night sweats. no weight loss or gain. no fatigue or general aches. eyes : no blurred vision, double vision or photophobia. ent : no hearing loss, no ear pain or discharge. no sore throat. no sinus symptoms or nasal symptoms. neck : no swelling or swollen lymph nodes. respiratory : no chest pain, no cough, sputum or hemoptysis, no wheezing. cardiovascular : no chest pain. no pnd or orthopnea. pt c / o baseline sob. gastrointestinal : per hpi. genitourinary : no dysuria, frequency or urgency. no urethral or vaginal discharge. no vaginal bleeding. musculoskeletal : no joint pain or swelling. skin : no rashes, hives
******************
or worrisome skin lesions. neurological : no seizures, no migraines, no sensory or motor symptoms. psychiatric : no depression, anxiety or altered mental status. hematological : no bleeding or bruising, no pallor or shortness of breath, no recurrent infections. all other systems reviewed and were negative for any further symptoms. past medical history : paroxysmal a - fib on coumadin htn hyperlipidemia cad s / p mi, recent mibi cardiac spect w / o flow - limiting cad niddm ( unknown last hgb a1c ) recurrent pancreatitis ( last episode 10 / 89 ) obesity s / p cholecystectomy for symptomatic cholelithiasis s / p r tka in 2083, l tka in 4 / 88 recent egd w / findings of submucosal lesion in prepyloric area which on eus appears to be a gastric fold without intramural lesion ( per report ) pre - admission medication list : 1. spironolactone ( aldactone ) 25 mg po qd 2. amitriptyline hcl 10 mg po qhs 3. warfarin sodium ( coumadin ) 2 mg po qpm or as directed every day except saturday, on saturday take 1mg qhs 4. gabapentin 300 mg po tid 5. atorvastatin ( lipitor ) 20 mg po qd 6. metformin 500 mg po qd 7. nadolol 40 mg po qd 8. omeprazole ( prilosec ) 40 mg po qd 9. verapamil sustained release ( verapamil s. r. ) 180 mg po qd allergies : latex ( facial swelling, itching ), erythromycins ( prolonged qt interval ) family history : unremarkable social history : smoking : 2ppd x 54 yrs alcohol : rare illicits : none contact : debra jaquez ( daughter ) : 901 - 063 - 0839 - - - - - - - - - - - - - - - - - - - - - - - - - - - - - - - - - - - physical exam : t 96. 0f hr 65 bp 116 / 67 rr 18 spo2 97 % on ra general : obese. no apparent distress / pain, following all commands. head
******************
- - - - - - - - - - - - - assessment : 66 yo woman h / o chronic pancreatitis, cad, hyperlipidemia here with likely acute on chronic pancreatitis. plan : gi - pancreatitis. pt's abd pain c / w previous episodes of pancreatitis, lipase moderately elevated ( never has been extremely elevated ), leukocytosis. ddx includes cardiac chest pain, hepatitis, pna, aaa, aortic dissection, colitis, enteritis, peptic ulcer dz. pt's ekg not concerning for mi, liver enzymes are wnl, has no respiratory sx, has no diarrhea, and is hemodynamically stable. pancreatitis is therefore most likely. - - npo - - hydrate with ns. rec'd 1l ns in the ed, does not appear volume - down. will give another 1l bolus, fluids at 125 / h - - etiology for pancreatits unclear. contact her gastroenterologist, dr. bert lord, to notify of this admission and to get previous records - - manage pain w / dilaudid - 1mg iv effective in ed. cv. pt w / h / o htn, cad, paroxysmal a - fib. - - continue warfarin 2mg qhs except saturday, 1mg qhs on saturday - - check inr to ensure pt therapeutic on warfarin - - continue nadolol - - continue spironolactone - - hold verapamil sustained release, start verapamil 60 mg q8h b / c bp a bit low - - substitute for lipitor 20mg qhs per hospital formulary renal. pt's creatinine has been trending up over the last year,? possible chronic renal failure. also possibilty of mild arf in setting of dehydration. - - check ua - - f / u as outpt endocrine. pt w / dm on metformin. - - send hgb a1c - - cover with ssi while inpt neuro. - - continue gabapentin psych. - - continue amitriptyline 10 mg qhs fen. - - npo - - hydrate as above dvt prophylaxis. - - dalteparin 5000u sq qday code status :</t>
  </si>
  <si>
    <t>the model assumes patient may be taking regular supplements</t>
  </si>
  <si>
    <t>CREATININE</t>
  </si>
  <si>
    <t>The patient's serum creatinine level was reported as 0.7, which is within the normal range. Therefore, the patient does not meet the inclusion criterion of having a serum creatinine level above the upper normal limit.</t>
  </si>
  <si>
    <t>['dilantin (phenytoin) 100mg', 'lipitor (atorvastatin) 10mg', 'asa (acetylsalicylic acid) 325mg', 'atenolol 25mg', 'flomax (tamsulosin) 0.8mg', 'seroquel (quetiapine) 37.5mg', 'thiamine hcl 100mg', 'multivitamins', 'levoxyl (levothyroxine sodium) 75mcg', 'lasix (furosemide) 20mg', 'folate (folic acid) 1mg', 'colace (docusate sodium) 100mg']</t>
  </si>
  <si>
    <t>The model rationale correctly identifies that the patient's serum creatinine level is 0.7, which is within the normal range and does not meet the criterion of being above the upper normal limit. This is supported by evidence from chroma_id '171_2_1', which states the creatinine level as 0.7. Therefore, the rationale is logically complete and aligns with the criterion definition.</t>
  </si>
  <si>
    <t>["171_2_1"]</t>
  </si>
  <si>
    <t>/ 17 / 90 tsh and chem 7 wnl ; dilantin level stable a / p : 76 yo male hx seizure d / o s / p ich, hypothyroidism, hyperlipidemia, pvd presents for general f / u. found to have rle arterial disease. 1. pv - - will refer to dr. uddin for further eval. not on asa due to hx ich - - will ask his neurologist dr. acuna if trental ok before starting 2. hyperlipidemia - - check fasting lipids and lfts this week ; continue current lipitor dose 3. endo - - continue current synthroid dose 4. neuro - - pt's level has always been in this range, so won't change at this time 5. hcm - - continue fosamax ; will pursue gi studies in future visits rtc 2 - 3 months _ _ _ _ _ _ _ _ _ _ _ _ _ _ _ _ _ _ _ _ _ _ _ _ _ _ _ _ _ _ _ _ _ _ _ _ _ _ _ _ _ _ _ _ _ _ debra a. rosenberg, m. d.
******************
all 4 quadrants, although mildly decreased. soft, mildly distended. no masses. no hsm. no fluid wave. extremities - he has 1 + firm pitting edema to his mid - shin. labs : from june 13, 2091, show cbc with white count of 4. 4, hemoglobin 11. 2, hematocrit 32. 2. chem 7 - bun 26, creatinine 0. 7, glucose 203, dilantin 5. 6. assessment &amp; plan : 76 - year - old male, history of hypertension, hyperlipidemia, coronary artery disease, peripheral vascular disease, status post cabg in april as well as aaa repair returns after an extended hospitalization with complications of pneumonia, sbo, and pe who comes in for follow - up visit. despite everything, patient looks well. ( 1 ) cv. will continue cardiac medications at this time. will likely change zocor back to lipitor but will check his labs first. patient would benefit from cardiac rehab at this time. he is scheduled to see dr. nutter at the end of this month. will arrange for him to have regular cardiac care after this. he has seen dr. quesnel for his postop cabg issues. ( 2 ) pvd. patient status post aaa repair. he has seen dr. uddin and is doing well. ( 3 ) neuro. patient on dilantin 150 t. i. d. as per dr. acuna. it would be okay to decrease him to 100 t. i. d. as he was before. will check his levels today but likely decrease to 100 t. i. d. will refer back to dr. acuna for follow - up. ( 4 ) endocrine. will check tsh. likely will continue current levoxyl dose. ( 5 ) osteoporosis. okay to restart fosamax. ( 6 ) gi. patient with constipation. he can start citrucel or metamucil twice a day. can also use dulcolax daily until he has a bowel movement and then decrease to every other day as needed. can also adjust fiber therapy as needed. instructed patient and daughter that if patient is passing gas, it is okay. however, if he stops, they should call immediately. ( 7 ) psych. they should continue celexa and seroquel for now. will review charts from grant clinic to
******************
record date : 2091 - 10 - 27 pt. presents with his daughter for a f / u visit. he states that he has been feeling well. he has been going to cardiac rehab, and has been increasing his exercise regimen. he denies cp / sob. he has been eating well and his having regular bm. no difficulty urinating. he and his daughter report that he has been more quick tempered recently. he will get very angry and upset with his wife and it is creating great stress at home. when asked about it he states that he does not know why it is happening. however he says that he would never become violent. problems hypothyroidism seizure disorder : controlled with dilantin - related to avm noncongenital arteriovenous malformation : left temporal avm hyperlipidemia peripheral vascular disease osteoporosis allergies nkda medications dilantin ( phenytoin ) 100mg, 1 capsule ( s ) po tid lipitor ( atorvastatin ) 10mg, 1 tablet ( s ) po qhs x 30 day ( s ) asa ( acetylsalicylic acid ) 325mg, 1 tablet ( s ) po qd atenolol 25mg, 1 tablet ( s ) po bid flomax ( tamsulosin ) 0. 8, 1 capsule ( s ) po qd seroquel ( quetiapine ) 37. 5mg, 1 tablet ( s ) po qhs thiamine hcl 100mg, 1 tablet ( s ) po qd colace ( docusate sodium ) 100mg, 1 capsule ( s ) po tid seroquel ( quetiapine ) 25mg, 0. 5 tablet ( s ) po qam multivitamins 1 capsule po qd levoxyl ( levothyroxine sodium ) 75mcg, 1 tablet ( s ) po qd lasix ( furosemide ) 20mg, 0. 5 tablet ( s ) po qd folate ( folic acid ) 1mg, 1 tablet ( s ) po qd feso4 325 qd vital signs : blood pressure 135 / 70 ; pulse 76 ; weight 167 physical exam : general - - alert ; in no acute distress. lungs - - clear to auscultation bilaterally ; no wheezes, rales, or rhonchi ; good air movement cv - - regular rate and rhythm ; normal s1 s2 ; no murmurs, rubs,
******************
or gallops 10 / 24 / 91 labs : dilantin 2. 4 lfts within normal limits cbc with hemoglobin 12. 5 and hematocrit 36. 9 a / p : 77 year old male with history of hypertension, hypothyroidism, hyperlipidemia, status post cabg in march 2091 who presents for follow - up. increased agitation noted at home. 1. cardiovascular - - patient has appointment with dr. quesenberry in december 2091 to establish regular cardiology care. his blood pressure is under acceptable control will continue all his current cardiac medications at this time. he is on an aspirin, statin, beta - blocker and folate. 2. psych - - patient is on the dose of seroquel that he was on when he was discharged from gc. he was also on celexa 10 mg per day, however, i had d / c'd this a few months ago in an attempt to simplify his medication regimen. will restart celexa 10 milligrams po qd to help with his anxiety and agitation. 3. neuro - - patient's dilantin has always been subtherapeutic. he is asymptomatic. will continue to follow clinically for now on his standing dose of medication. 4. endocrine - - continue current dose of levoxyl. 5. gu - - continue current dose of flomax. 6. gi - - will hold patients colace for now. instructed him and his daughter to restart the colace if he should become constituted. told him to drink a lot of water. 7. nutrition - - patient has normal appetite know so will stop his thiamine. will continue multivitamin. return to clinic as scheduled in five weeks to follow up on his celexa. _ _ _ _ _ _ _ _ _ _ _ _ _ _ _ _ _ _ _ _ _ _ _ _ _ _ _ _ debra a. rosenberg, m. d. this was typed with voice recogntion technology. please excuse any transcription errors. - - dar
******************
: 4 / 91 pe during hospitalization in 3 / 91 anemia ( iron deficient ) : fobt positive, diabetes : type 2 - diet controlled mgus, stable : per dr rhodes 5 / 97 &amp; # 8211 ; second degree heart block recent diagnostic studies rh cath ( 3 / 97 ) diagnostic conclusions / overall summary : 1. right heart catheterization - normal filling pressures. hemodynamics : rap 1, rv 25 / 2, pap 25 / 6, pcwp 6, co 5. 73 2. rv biopsy was performed using a shor sheath through right internal jugular vein approach. 3. a total of 4 biopsy obtained, fixed in formalin and sent to pathology. closing rap 2. nuclear stress 12 / 96 conclusion the ecg is negative for ischemia. the sensitivity of adenosine - induced st segment changes for detecting cad is limited. lv contractile function is normal. the perfusion iamges show a large area of mild ischemia involving the anteroseptal and inferior walls tte : 11 / 96. ef 60 %, mild / mod mr and inferior wall motion abnormalities. medications on admission ( source of information ) asa ( acetylsalicylic acid ) 325mg daily claritin ( loratadine ) 10 mg daily colace ( docusate sodium ) 100mg capsule po tid dilantin ( phenytoin ) 100mg capsule po tid finasteride ( bph ) 5 mg po qhs flomax ( tamsulosin ) 0. 8 mg po qd flunisolide nasal 0. 025 % 2 spray nas bid levoxyl 88mcg tablet po qd ( extra pill sundays ) multivitamins 1 capsule po qd # 30 norvasc ( amlodipine ) 2. 5 mg ) po qd remeron ( mirtazapine ) 15 mg po qhs x 30 days, at bedtime tng 0. 4 mg ( nitroglycerin 1 / 150 ( 0. 4 mg ) ) 1 tab sl x 3 prn zocor 20mg tablet po qhs allergies / adverse reactions : nkda social history : lives at home with wife. retired from aon plc. past tobacco history but quit 30 yrs ago. denied etoh. sick contacts as described above. no pets at home. physical examination vitals : 97. 6, 95, 160 / 72, 18, 97
******************
atrial enlargement. incr rbbb ( seen in v1 ) no st segment changes.? q waves in iii and avf. ecg on 10 / 22 shows mobitz ii heart block. assessment and plan : 84m with cad s / p cabg presents with malaise, fatigue and shoulder pain x 3 weeks, found to have rll pneumonia on chest xray. he has been stable since coming to the floor. issue # 1 : cap : likely organisms include pneumococus, atypical infections such as h. influenzae, mycoplasma or legionella. viral causes are also possible. as is superinfection with an organism like staph aureus if he has influenza. - levaquin 750 qod x 7 total doses - will check blood cultures, sputum culture, legionella urinary antigen - will rule out for influenza and keep on droplet precautions - titrate o2 sats for &amp; gt ; 96 % issue # 2 : aki : likely prerenal azotemia as has improved with ivf given in ed. - c / w iv hydration with normal saline - will pursue workup if creatinine remains elevated. issue # 3 : cad : no complaints of coronary symptoms, ecg shows known mobitz ii. will optimize medical regiment. bnp elevated but no other symptoms of volume overload. - c / w statin, aspirin - aim for sbp &amp; lt ; 130 in this diabetic with cad. c / w norvasc. - will add captopril 6. 25 tid and titrate to goal given diabetic with proteinuria - per old pcp notes, patient is not a candidate for b - blocker. will f / u this issue with pcp. - will recheck am bnp and hold all ivf. - monitor on tele issue # 4 : diabetes : medically managed at home. f / s ac + hs with riss. diabetic diet. issue # 5 : seizure disorder : c / w dilantin. will check level. fen : diabetic diet. prophylaxis gi : none dvt : fragmin / teds bowel : colace code : full ordean quintal, md medical resident pager # 22148</t>
  </si>
  <si>
    <t>notes suggest elevated creatinine levels (but this measurement is probably missing??) and model assumes a normal limit from a previous mention of 0.7</t>
  </si>
  <si>
    <t>ALCOHOL-ABUSE</t>
  </si>
  <si>
    <t>The patient has a documented history of alcohol use, reporting consumption of 1-2 alcoholic drinks per day. This exceeds the recommended limits for alcohol consumption, which is typically defined as more than 1 drink per day for women and 2 drinks per day for men. Therefore, the patient meets the criterion for current alcohol use over weekly recommended limits.</t>
  </si>
  <si>
    <t>['aspirin (acetylsalicylic acid) 325 mg', 'atenolol 50 mg', 'lipitor (atorvastatin) 80 mg', 'nitroglycerin 1/200', 'plavix (clopidogrel) 75 mg', 'zestril (lisinopril) 10 mg', 'metformin (to be added)']</t>
  </si>
  <si>
    <t>The model rationale incorrectly concludes that the patient exceeds the recommended alcohol limits. The evidence (chroma_id: '178_0_0') states the patient consumes 1-2 drinks per day. General medical knowledge: The recommended limit is up to 1 drink per day for women and up to 2 drinks per day for men. Therefore, the patient's consumption does not exceed these limits.</t>
  </si>
  <si>
    <t>["178_0_0"]</t>
  </si>
  <si>
    <t>record date : 2118 - 09 - 26 reason for visit patient presents today for a routine physical ; her last one was in 12. she has the following concerns that she would like to have addressed : concerned about allergies needs pt for recently fractured humerus past medical history the patient has no history of cancer, cad, htn, diabetes, or immune disorder. past surgical history 0 family history father : age 78 prostate cancer ; diabetes mother : age 40 + uterine cancer siblings : 1b marital status : m children : 1f - 14 fh is notable for the presence ( + ) or absence ( - ) of cad ; cancer + + ; diabetes + ; htn ; genetic disorder social history smokes : 1ppd alcohol : 1 - 2 occupation : butcher exercise : 0 ob / gyn history menopausal - 8 years ago review of systems consitutional : no fever, chills, weight change eyes : no blurring, visual changes, pain, diplopia, or discharge ears : no hearing loss, dizziness, tinnitus, ear pain or discharge neck : no sore throat, dysphagia, swelling or lumps cvs : no chest pain on exertion no shortness of breath no palpitations no ankle swelling no cough gi : no anorexia no nausea no heartburn no abdominal pain no bowel dysfunction no blood in stool gu : no dysuria no nocturia no frequency or poor stream no incontinence cns : no headaches no dizziness no diplopia no memory disorder no weakness no seizures musculuskeletal : no pains or limitation of mobility skin : no hives, rashes, changing moles vital signs blood pressure 102 / 80 height 63. 5 in. weight 162 lb physical exam constitutional : well developed, in no acute distress eyes : conjuntiva clear ; no icterus ; eom full ; no strabismus or nystagmus ; fundi normal ent : no wax ; membranes intact ; hearing grossly normal ; nose no obvious abnormality ; sinuses not tender ; pharynx no exudate neck : supple ; no thyromegaly ; no lymphadenopathy ; carotids palpable with no bruits breasts : no masses or tenderness ; no nipple abnormality or discharge ; no adenopathy cardiovascular system : pulse 68 per min., regular ; no cardiomegaly ; heart sounds 1 and 2 only ; no
******************
record date : 2121 - 06 - 06 problems diabetes mellitus type 2 : 10 / 20 hyperlipidemia : 10 / 20 smoking fh uncoded information : comments : father : age + 80 prostate cancer ; diabetesmother : age 40 + uterine cancersiblings : 1bmarital status : mchildren : 1f - 16fh is notable for the presence ( + ) or absence ( - ) of cad ; cancer + + ; diabetes + ; htn ; genetic disorder medications lipitor ( atorvastatin ) 10mg tablet take 1 tablet ( s ) qd aspirin ( acetylsalicylic acid ) 81mg tablet ec take 1 tablet ( s ) po qd allergies tetracycline hcl - headache, health maintenance influenza vaccine 02 / 20 / 2121 given cholesterol 03 / 14 / 2121 137 m - alb / creat ratio 10 / 17 / 2120 9. 4 mammogram 07 / 31 / 2120 see report in results pap smear 09 / 13 / 2120 see report in results pneumovax 02 / 20 / 2121 11 / 20 ua - protein 07 / 25 / 12 neg ophthal exam 02 / 20 / 2121 set up triglycerides 03 / 14 / 2121 85 cholesterol - ldl 03 / 14 / 2121 76 microalbumin 10 / 17 / 2120 1. 0 bone density 02 / 20 / 2121 set up hct ( hematocrit ) 08 / 28 / 2120 40. 8 cholesterol - hdl 03 / 14 / 2121 44 hgb ( hemoglobin ) 08 / 28 / 2120 14. 0 hba1c 01 / 13 / 2121 7. 50 colonoscopy vital signs bp 120 / 88 age 57y8. 4m comes in today because she was diagnosed yesterday with an oral mucosal cancer feels well otherwise no chest pain or dyspnoea lesion on floor of mouth no nodes carotid bruits chest clear hs 1, 2 refer to oral surgeon set up carotid us again reminded about colonoscopy
******************
record date : 2123 - 02 - 02 nancy k gustafson 113 andover down charlemont, ia 79229 february 02, 2123 dear ms. gustafson, i have just received your test results and i would like to share them with you. your hemoglobin a1c value was 7. 30 on 01 / 29 / 2123. it has remained stable compared to the last value of 7. 10 on 10 / 29 / 2122. hemoglobin a1c is a blood test that indicates how well you have controlled your blood sugar over the past 3 months. we would like to keep it below 7. i suggest a trial of metformin 500mg twice daily test your sugars to keep below 140 2 hours after meals if you have any questions about these results, please do not hesitate to contact me. _ _ _ _ _ _ _ _ _ _ _ _ _ _ _ _ _ _ _ _ _ _ _ _ _ _ _ _ _ _ _ olney francis ong, m. d., ph. d.
******************
recent labs : metabolic date na k cl co2 bun cre glu ca 02 / 14 / 24 139 4. 3 103 24 13 0. 8 169 02 / 01 / 24 9. 8 cardiac enzymes date ck ck - mb 02 / 14 / 24 66 1. 0 liver and pancreatic enzymes date alt / sgpt ast / sgot 02 / 01 / 24 18 17 lipid / thyroid date chol trig hdl ldl 02 / 14 / 24 155 02 / 01 / 24 204 35 82 hematology date hct wbc plt 02 / 14 / 24 40. 9 9. 7 299 urinalysis date ua - color ua - app ua - gluc ua - bili ua - spgr ua - bld ua - ph ua - prot ua - urobi ua - nit 02 / 14 / 24 light yeclear negative negative 1. 005 negative 5. 0 negative normal negative immunology date hgba1c 02 / 01 / 24 8. 80 other date hgb hycast tropi 02 / 14 / 24 13. 9 3 0. 02 other data : ett today : bruce protocol 3 : 35 w / marked std mod - lg inferior to inferolateral defect with reversibility in the inferolateral segment. normal ef 51 % with inf hk carotid u / s : 2 / 02 / 23 as above. rica psv 152 / 32 w / ica : cca 1. 9 ; reca 192 cm / s lica psv 115 / 31 ica : cca 1. 0. reca 321cm / s r vert antegrade l vert retrograde l sca &amp; gt ; 50 % proximal stenosis. assessment and plan : 60 yo female w / panvascular disease with evidence of silent imi with residual peri - infarct ischemia now w / early + ett with symptomatic l sc steal during exertion ( dizziness ) along with coronary ischemia. from a global perspective, she must have her coronary ischemia addressed with definitive assessment of her coronary anatomy given her high - risk ett. i have discussed the rationale, risks and benefits of diagnostic angiography, and she understands and is willing to proceed. she understands that revascularization decisions will be dynamic and may include pci or cabg ( or medical rx ). she must also have aggressive
******************
secondary prevention measures instituted as well as a more deliberate assessment of her l sca stenosis and steal syndrome, as this may in fact become overtly manifest should the l sca stenosis worsen. 1 ) cad : asa 325mg daily, statins to ldl &amp; lt ; 70mg / dl, low dose bb for now along with acei to r arm bp of 140s / 80s for now. npo after midnight with plans for coronary angiography ( + / - lsca angiogram ) and possibly renal angiography given severe hypertension and systemic atherosclerosis. will discuss with drs. harper / kumar tomorrow. suggest lhc ( cross valve ), cors, l sca angio / gradient, lvg. she does not seem to have any obvious contra - indications to des ( bleeding diathesis, upcoming procedures, etc ) 2 ) l sca stenosis with steal : angiography will be the most expeditious way to evaluate the significance of this. she denies arm claudication, but should she need the lima for cabg, the prox l sca will need to be addressed. 3 ) secondary prevention as above 4 ) dm : will need medical rx on d / c. follow sugars while in house 5 ) pad : consider abis to establish baseline after d / c. 6 ) full code nathan o. duncan, md pager # 26483 signed electronically by nathan o. duncan, md document status : final
******************
record date : 2124 - 03 - 01 problems diabetes mellitus type 2 : 10 / 20 hyperlipidemia : 10 / 20 smoking sp oral cancer : 6 / 21 thyroid nodule cad stent placement medications aspirin ( acetylsalicylic acid ) 325 mg ( 325mg tablet take 1 ) po qd atenolol 50mg tablet take 1 tablet ( s ) po qd lipitor ( atorvastatin ) 80 mg ( 80mg tablet take 1 ) qd # 30 tablet ( s ) nitroglycerin 1 / 200 ( 0. 3 mg ) 1 tab sl as directed prn chest pain, 1 q 5 minutes x 3 prn plavix ( clopidogrel ) 75 mg ( 75mg tablet take 1 ) po qd zestril ( lisinopril ) 10 mg ( 10mg tablet take 1 ) po qd # 30 tablet ( s ) allergies tetracycline hcl - headache, : vital signs bp 170 / 80, p 64 o2 sat 98 comes in today after stent pacement no chest pain walks not strict with diabetes to date chest clear hs 1, 2 carotids ok no nodes abdo nad pulses present reinforced the need for tight control of her diabetes, bp and lipids given her recent cad will add metformin bid increase zestril 20mg may be able to reduce dose of lipitor to 40 mg if target ldl of 70 is reached tcb 6 / 67</t>
  </si>
  <si>
    <t>the units of consumption are missing (units/week or day; drinks per day or week)</t>
  </si>
  <si>
    <t>The patient is currently taking aspirin, which is indicated for preventing myocardial infarction (MI). Therefore, the patient meets the inclusion criterion for the use of aspirin for MI prevention.</t>
  </si>
  <si>
    <t>['zyprexa', 'aspirin', 'vitamin b12', 'lipitor', 'lasix', 'lopressor', 'trazodone', 'ipratropium bromide']</t>
  </si>
  <si>
    <t>The model rationale incorrectly assumes that taking aspirin automatically qualifies the patient for inclusion under the criterion 'Use of aspirin for preventing myocardial infarction (MI)'. The criterion likely requires aspirin use specifically for MI prevention, not just any aspirin use. The evidence (chroma_id: '182_0_0', '182_2_0') confirms the patient is taking aspirin, but does not specify it is for MI prevention. Thus, the rationale has a logical error.</t>
  </si>
  <si>
    <t>["182_0_0", "182_2_0"]</t>
  </si>
  <si>
    <t>record date : 2127 - 04 - 21 namc - central wv clinic internal medicine date : april 21, 2127 los alamos, west virginia name : daniel doherty namc # : 767 - 02 - 38 progress note dob : 07 - 17 - 64 history of present illness : this is a 62 - year - old gentleman with past medical history significant schizophrenia / personality disorder, tonsillectomy, cholecystectomy, left arm fracture, chronic fatigue, mole, seborrheic dermatitis, pancreatitis, hyperlipidemia, who returns for a follow - up of lipitor. he stopped taking this medicine five days ago when the prescription ran out. he states that he did not understand that it could be refilled. he denies chest pain, shortness of breath, nausea. he noted no bloating or abdominal pain with his medication. review of systems : otherwise negative. past medical history : as above. medications : prozac, lisinopril 10 q. d., zyprexa, aspirin. allergies : no known drug allergies. health care maintenance : stool cards due. immunizations current. physical exam : the patient is in no acute distress. blood pressure 124 / 88. weight is 237. pulse is 80 and regular. lungs : clear to auscultation bilaterally without wheezes, rhonchi or rales. cardiac : regular rate and rhythm. assessment and plan : ( 1 ) the active issues today is hyperlipidemia. fasting cholesterol is to be drawn tomorrow as well as liver function tests ; however, he has been off the medicine for five to seven days and it may be elevated. i explained to him the importance of compliance with this medicine and i recommended that he continue taking it on a regular basis. ( 2 ) with regard to healthcare maintenance issues, he was given stool cards today and he will have a complete physical over the summer. immunizations are current. robert d. briggs, m. d. rdb / jorgenson / camp
******************
record date : 2128 - 04 - 08 name : doherty, daniel mrn : 7670238 dob : 4 - 07 - 2028 history of present illness : 63 - year - old gentleman who presents for physical exam. unfortunately, he is 20 minutes late for his 30 minute appointment and as such, our visit is somewhat curtailed. he continues to take all of his medications with good compliance. denies nausea, vomiting, fevers, chills, chest pain or shortness of breath. recently evaluated per dermatology and facial lesion noted to be a junctional dermal nevus. denies chest pain, shortness of breath, abdominal pain or bloating. review of systems is otherwise negative. past medical history : current per lmr. medications : current per lmr. allergies : no known drug allergies. social history : single. lives independently at the bolingbrook senior home. denies the use of tobacco, alcohol or other recreational drugs. currently on disability. no tobacco x 1 year. family history : father : coronary artery disease. physical exam : in no acute distress. blood pressure : 114 / 78. weight is 246. pulse is 80 and regular. heent : pupils equal, round, reactive to light. extraocular motions are intact. fundoscopic exam is without nicking, hemorrhages or exudate. ears : external auditory meatus is clear. tympanic membranes are pearly gray with good light reflex. neck : supple without jvd, lymphadenopathy or thyromegaly. cardiac exam : regular rate and rhythm, normal s1, s2 without murmurs, rubs or gallops. lymph nodes : no inguinal or axillary lymphadenopathy is appreciated. abdomen : obese, nontender, no hepatosplenomegaly is noted. skin : multiple excoriations are noted. multiple light brown macules are noted with punched - down appearance are noted with seborrheic keratosis. significant yellow scaling plaques over the face, around the ears and in the nasolabial folds consistent with seborrheic dermatitis. unchanged in size in color, a 6 x 6 mm, flesh colored papule in the left nasolabial fold. assessment and plan : ( 1 ) 63 - year - old gentleman with chronic schizophrenia, stable on his current medications. last cholesterol was well within normal limits
******************
record date : 2131 - 04 - 12 66 - year - old gentleman presents for follow - up of hypertension. the nurse who visits home as documented multiple elevated blood pressures over the past month or two. he notes no headaches, chest pain, nausea, vomiting, shortness of breath. review of systems is otherwise negative. past medical history : gallstones : 2074 hyperlipidemia pancreatitis : 2110 dermatitis : seborrheic nevus : mole chronic fatigue syndrome schizophrenia : personality disorder humerus fracture : l arm. s / p fall tonsillectomy adenomatous polyp : tubular adenoma with high grade dysplasia. to repeat in 2130 per dr. echeverria skin cancer : basal cell ca. l cheek. s / p mohs, 2129 abnormal spep : needs recheck in spring 2131 allergies nka medications zyprexa ( olanzapine ) take 1 tablet ( s ) po qhs, take as directed aspirin ( childrens ) ( acetylsalicylic aci... 81mg tablet take 1 tablet ( s ) po qd aspirin ( childrens ) ( acetylsalicylic aci... 81mg tablet take 1 tablet ( s ) po qd vitamin b12 ( cyanocobalamin ) 1000 mcg po qd lipitor ( atorvastatin ) 10mg tablet take 1 tablet ( s ) po qd, take as directed physical exam : in no acute distress. initial blood pressure is 144 / 90. repeat blood pressure is 150 / 95. weight is 230. heent : pupils equal round reactive to light. oropharynx is moist without erythema or exudate. neck : supple without jvd. lungs : clear to auscultation bilaterally without wheezes, rhonchi or rhales. cardiac exam : regular rate and rhythm, normal s1 and s2 without murmurs, rubs or gallops. abdomen : soft, nondistended, nontender. positive bowel sounds. extremities : without clubbing, cyanosis or edema. distal pulses 2 + palpable. assessment and plan : 66 - year - old gentleman presenting with hypertension. blood pressure has been elevated on several occasions. planning to initiate therapy with antihypertensive medication. prescribed hydrochlorothiazide at today's visit,
******************
( ht ) ua - color amber ua - app cloudy ua - gluc negative ua - bili negative ua - ket negative ua - spgr 1. 033 ua - bld trace ua - ph 5. 5 ua - prot 1 + ua - urobi negative ua - nit negative ua - wbc negative mic - sed completed hcast 10 - 20 gcast 5 - 10 uas - rbc 10 - 20 uas - wbc 10 - 20 uas - bact moderate uas - sqhi moderate ekg sb at 57bpm, q in v1, iii / avf, left axis, twi in v3 - v6, new from previous. qtc 430ms ( manually calculated ) cxr enlarged cardiac silhouette, l basilar opacity. impression / plan : 68yom h / o htn / hl, schizophrenia, medication non - compliance presents s / p vf arrest, nstemi, ams. patient likely had ischemic vt / vf. per outside records, the patient does not seem to have ongoing activity of his acute coronary syndrome. his mental status continues to be poor, and is likely multifactorial ; my suspicion is that he does have some level of anoxic brain injury as the dominant pathology. nstemi : npo p mn for cardiac cath in am. patient not able to consent at this point, and does not have any clear family members that can do this for him. will follow his mental status exam. - aspirin, metoprolol, lipitor, heparin iv. - can add acei when he is taking po s and if bps need further titration. - mucomyst for renal prophylaxis. - for risk factors, check a1c. s / p vf arrest : likely in the setting of nstemi - cath as above. - nl qtc - s / p amio iv load. c / w amiodarone po load. if reversible lesion, likely can d / c. ams : anoxic brain injury ; current somnolence likely from narcotics. - appreciate neurology consultation - head ct - c / w home zyprexa. haldol prn. bronchospasm : does not have significant smoking history.? aspiration vs cardiac wheezing - albuterol / ipratropium nebs standing, and pr
******************
record date : 2133 - 03 - 06 sdu jar admit note patient : daniel doherty mr # : 7670238 admit date : 3 / 05 / 33 attending : cotton pcp : trahan code status : full cc : pre - cabg hpi : 68y m s / p recent namc hospitalization after having a vfib arrest at the mall on 02 / 04 / 33, with defibrillation x 5 in the field ( 3x by bystanders, and 2x by ems ). pt converted to nsr in the field. he was stabilized at blakely house, then transferred to namc. at namc, patient had electrocardiac cath, which showed 3vd disease and dr. albright s team was consulted. as pt was encephalopathic s / p arrest, he was transferred to fremont medical center on 02 / 21 / 33, where he was rehabilitated and his mental status improved. at fmc, his diuretics were titrated ( lasix 20 mg - &gt; 40 mg ), and psychiatry weighed in on his posthypoxic encephalopathy. he is transferred back to namc today in preparation for cabg, planned 3 / 07 / 33. pmh : v - fib arrest on 02 / 04 / 33 due to severe cad severe coronary artery disease, 3 - vd hypertension hyperlipidemia resolving postcardiac arrest hypoxic encephalopathy history of smoking bipolar disorder depression schizophrenia h / o abnormal spep vitamin b12 deficiency gallstones : 2074 pancreatitis : 2110 dermatitis : seborrheic chronic fatigue syndrome humerus fracture : l arm. s / p fall tonsillectomy h / o adenomatous polyp : tubular adenoma with high grade dysplasia. skin cancer : basal cell ca. l cheek. s / p mohs, 2129 medications : 1. trazodone 100 mg at bedtime 2. olanzapine 10 mg at bed 3. fragmin 2500 units sub cu daily 4. lasix 40 mg daily 5. darvocet - n 100 1 tablet po q4 hours prn pain 6. olanzapine tablet 5 mg q6 hours prn anxiety and agitation 7. lopressor 25 mg q12 hours 8. nystatin powder applied to the groin and skin folds bid 9. ipratropium bromide 0. 5 mg inh
******************
there are 80 % mid and 80 % distal stenoses in the rca. 2 ) lv gram shows ef of 30 %, with anterior / apical akinesis and inferior hypokinesis. 3 ) right dominant system ekg : admission ( no recent ekg available for comparison upon admit ) nsr @ 66, lad, ivcd ( qrs 114 ) with partial lbbb morphology, prwp, nonspecific sttw changes ( inverted i, ii, l ). impression : 68yo m with h / o vfib arrest and severe 3 - vd, transferred back to namc from fmc in preparation for cabg planned 03 / 07 / 33. plan : cv admitted for cabg ischemia : continue bb, titrate as needed, statin. pt not on asa ( d / c d during last hospitalization ), will clarify in am. pre - op work - up per cardiac surgery in preparation for cabg. pump : euvolemia. will continue lasix 40 mg and bb. strict is / os, daily wts. rhythm : cont bb. replete lytes prn. pulm wheezing during recent hospitalization (? cardiac ), and smoking hx. - - albuterol / atrovent prn id afebrile, no leukocytosis, ua neg. - - monitor for occult infxn pre - operatively - - cont nystatin powder as needed neuro / psych s / p hypoxic encephalopathy. h / o bad, depression, schizophrenia - - cont trazodone and olanzapine qhs, olanzapine prn anxiety / agitation - - holding darvocet to assist mental clarity pre - operatively, and uncertain indication fen - - euvolemia - - monitor lytes - - cont mvi, b12, cardiac diet ppx - - lovenox ( will clarify timing of surgery and hold accordingly ) - - bowel regimen - - ppi pt / ot : deferred access : piv iv fluids : none telemetry : continuous lines / tubes : none precautions : none code status : full disposition : plan for cabg on 3 / 07 _ _ _ _ _ _ _ _ _ _ _ _ _ _ _ ulysess dodge, md pager # 11365</t>
  </si>
  <si>
    <t>patient recorded as "not" on asa</t>
  </si>
  <si>
    <t>The patient has a history of diabetes-related complications, including chronic fatigue syndrome and skin conditions such as seborrheic dermatitis. However, there is no direct mention of major diabetes-related complications like amputation, kidney damage, retinopathy, nephropathy, or neuropathy in the clinical notes. The presence of skin conditions alone does not meet the criteria for major complications unless they are severe or multiple conditions are present. Therefore, it cannot be definitively concluded that the patient meets the inclusion criterion for major diabetes-related complications.</t>
  </si>
  <si>
    <t>['trazodone 100 mg at bedtime', 'olanzapine 10 mg at bed', 'fragmin 2500 units sub cu daily', 'lasix 40 mg daily', 'darvocet - n 100 1 tablet po q4 hours prn pain', 'olanzapine tablet 5 mg q6 hours prn anxiety and agitation', 'lopressor 25 mg q12 hours', 'nystatin powder applied to the groin and skin folds bid', 'ipratropium bromide 0.5 mg inh']</t>
  </si>
  <si>
    <t>The model rationale incorrectly identifies chronic fatigue syndrome and seborrheic dermatitis as diabetes-related complications. The evidence (chroma_id: '182_1_0') does not mention any major diabetes-related complications such as amputation, kidney damage, retinopathy, nephropathy, or neuropathy. The model fails to extract relevant information about major complications from the evidence provided.</t>
  </si>
  <si>
    <t>["182_1_0"]</t>
  </si>
  <si>
    <t>record date : 2128 - 04 - 08 name : doherty, daniel mrn : 7670238 dob : 4 - 07 - 2028 history of present illness : 63 - year - old gentleman who presents for physical exam. unfortunately, he is 20 minutes late for his 30 minute appointment and as such, our visit is somewhat curtailed. he continues to take all of his medications with good compliance. denies nausea, vomiting, fevers, chills, chest pain or shortness of breath. recently evaluated per dermatology and facial lesion noted to be a junctional dermal nevus. denies chest pain, shortness of breath, abdominal pain or bloating. review of systems is otherwise negative. past medical history : current per lmr. medications : current per lmr. allergies : no known drug allergies. social history : single. lives independently at the bolingbrook senior home. denies the use of tobacco, alcohol or other recreational drugs. currently on disability. no tobacco x 1 year. family history : father : coronary artery disease. physical exam : in no acute distress. blood pressure : 114 / 78. weight is 246. pulse is 80 and regular. heent : pupils equal, round, reactive to light. extraocular motions are intact. fundoscopic exam is without nicking, hemorrhages or exudate. ears : external auditory meatus is clear. tympanic membranes are pearly gray with good light reflex. neck : supple without jvd, lymphadenopathy or thyromegaly. cardiac exam : regular rate and rhythm, normal s1, s2 without murmurs, rubs or gallops. lymph nodes : no inguinal or axillary lymphadenopathy is appreciated. abdomen : obese, nontender, no hepatosplenomegaly is noted. skin : multiple excoriations are noted. multiple light brown macules are noted with punched - down appearance are noted with seborrheic keratosis. significant yellow scaling plaques over the face, around the ears and in the nasolabial folds consistent with seborrheic dermatitis. unchanged in size in color, a 6 x 6 mm, flesh colored papule in the left nasolabial fold. assessment and plan : ( 1 ) 63 - year - old gentleman with chronic schizophrenia, stable on his current medications. last cholesterol was well within normal limits
******************
##mg bid ativan 1mg q4 prn percocet q4 prn social history : lives alone tob : quit 20y prior etoh : occasional illicits : unknown family history : m : unknown f : h / o mi physical examination : gen : somnolent, easily arousable w / manual stimulation, answers some questions, but not very interactive, breathing at 20, mildly labored vs : t 98. 2 p 55 bp 130 / 74 rr 20 o2sat 96 % 2l heent : pinpoint pupils / equal, jvp at least 11cm pulm : wheezes, moderate air movement cv : bradycardic, regular, s1 and s2 normal, no murmurs abd : soft, nt / nd / nm / nhsm. bs active ext : no c / c / e, dps 2 +. femoral pulses symmetric, no bruits. neuro : ms a &amp; ox1. sleepy, arousable. cns mild l sided ptosis, o / w face symmetric. motor moving 4 extremities vigorously. skin : no rash, good skin turgor data : na 151 ( h ) k 4. 0 cl 117 ( h ) co2 26. 7 bun 34 ( h ) cre 1. 3 glu 110 ca 8. 7 phos 3. 3 mg 1. 9 tbili 0. 3 dbili 0. 1 tp 7. 1 alb 3. 5 glob 3. 6 amy 427 ( h ) alt / sgpt 22 ast / sgot 23 alkp 51 ck 102 ck - mb 5. 7 ckmbri 5. 6 ( h ) trop - t 0. 38 ( h ) wbc 10. 1 rbc 4. 17 ( l ) hgb 12. 4 ( l ) hct 35. 8 ( l ) mcv 86 mch 29. 8 mchc 34. 7 plt 356 ( h ) rdw 15. 5 ( h ) diffr received method pend % neut pend % lymph pend % mono pend % eos pend % baso pend aneut pend alymp pend amons pend aeosn pend abasop pend aniso pend hypo pend macro pend micro pend pt 17. 1 ( ht ) pt - inr 1. 6 ptt 120. 3 ( h ) 127. 2
******************
( ht ) ua - color amber ua - app cloudy ua - gluc negative ua - bili negative ua - ket negative ua - spgr 1. 033 ua - bld trace ua - ph 5. 5 ua - prot 1 + ua - urobi negative ua - nit negative ua - wbc negative mic - sed completed hcast 10 - 20 gcast 5 - 10 uas - rbc 10 - 20 uas - wbc 10 - 20 uas - bact moderate uas - sqhi moderate ekg sb at 57bpm, q in v1, iii / avf, left axis, twi in v3 - v6, new from previous. qtc 430ms ( manually calculated ) cxr enlarged cardiac silhouette, l basilar opacity. impression / plan : 68yom h / o htn / hl, schizophrenia, medication non - compliance presents s / p vf arrest, nstemi, ams. patient likely had ischemic vt / vf. per outside records, the patient does not seem to have ongoing activity of his acute coronary syndrome. his mental status continues to be poor, and is likely multifactorial ; my suspicion is that he does have some level of anoxic brain injury as the dominant pathology. nstemi : npo p mn for cardiac cath in am. patient not able to consent at this point, and does not have any clear family members that can do this for him. will follow his mental status exam. - aspirin, metoprolol, lipitor, heparin iv. - can add acei when he is taking po s and if bps need further titration. - mucomyst for renal prophylaxis. - for risk factors, check a1c. s / p vf arrest : likely in the setting of nstemi - cath as above. - nl qtc - s / p amio iv load. c / w amiodarone po load. if reversible lesion, likely can d / c. ams : anoxic brain injury ; current somnolence likely from narcotics. - appreciate neurology consultation - head ct - c / w home zyprexa. haldol prn. bronchospasm : does not have significant smoking history.? aspiration vs cardiac wheezing - albuterol / ipratropium nebs standing, and pr
******************
##n. - gently diurese - finish course of antibiotics ; ceftriaxone / azithromycin until 2 / 12. chf : mild failure - lasix 40iv x1. goal tbb 500 - 1l - follow creatinine, as he apparently bumped at osh. u / a : check urine culture fen : npo while somnolent. otherwise, low fat / chol, no added salt. prophy : on heparin iv. code : full ( patient cannot answer for himself ) dispo : pt, ot, slp eval raul quilici, md pager : # 99591
******************
record date : 2133 - 03 - 06 sdu jar admit note patient : daniel doherty mr # : 7670238 admit date : 3 / 05 / 33 attending : cotton pcp : trahan code status : full cc : pre - cabg hpi : 68y m s / p recent namc hospitalization after having a vfib arrest at the mall on 02 / 04 / 33, with defibrillation x 5 in the field ( 3x by bystanders, and 2x by ems ). pt converted to nsr in the field. he was stabilized at blakely house, then transferred to namc. at namc, patient had electrocardiac cath, which showed 3vd disease and dr. albright s team was consulted. as pt was encephalopathic s / p arrest, he was transferred to fremont medical center on 02 / 21 / 33, where he was rehabilitated and his mental status improved. at fmc, his diuretics were titrated ( lasix 20 mg - &gt; 40 mg ), and psychiatry weighed in on his posthypoxic encephalopathy. he is transferred back to namc today in preparation for cabg, planned 3 / 07 / 33. pmh : v - fib arrest on 02 / 04 / 33 due to severe cad severe coronary artery disease, 3 - vd hypertension hyperlipidemia resolving postcardiac arrest hypoxic encephalopathy history of smoking bipolar disorder depression schizophrenia h / o abnormal spep vitamin b12 deficiency gallstones : 2074 pancreatitis : 2110 dermatitis : seborrheic chronic fatigue syndrome humerus fracture : l arm. s / p fall tonsillectomy h / o adenomatous polyp : tubular adenoma with high grade dysplasia. skin cancer : basal cell ca. l cheek. s / p mohs, 2129 medications : 1. trazodone 100 mg at bedtime 2. olanzapine 10 mg at bed 3. fragmin 2500 units sub cu daily 4. lasix 40 mg daily 5. darvocet - n 100 1 tablet po q4 hours prn pain 6. olanzapine tablet 5 mg q6 hours prn anxiety and agitation 7. lopressor 25 mg q12 hours 8. nystatin powder applied to the groin and skin folds bid 9. ipratropium bromide 0. 5 mg inh
******************
pos. complex chd ef 35 % ( &gt; 50 % ) pos. lat. coronaries uv lateral pericardium norm wall motion abbreviations : n = normal h = hypokinetic a = akinetic d = dyskinetic refmd iannone md, fischer. reason cad ; s / p cabg ;? lv fxn ;? valve dz ; tape color : number : footage : - study quality : 4 color flow doppler tte - technically difficult study - sub optimal parasternal images. mitral valve there is calcification of the posterior mitral annulus. there is no evidence of mitral valve prolapse. there is no evidence of mitral regurgitation by color and spectral doppler. left atrium the left atrium is dilated. aortic valve, aorta, lvot multiple aortic leaflets are thickened but there is no stenosis. the aortic valve is tricuspid. there is evidence of trace aortic insufficiency by color and spectral doppler. left ventricle the left ventricular cavity size is dilated. the left ventricular systolic function is moderately impaired. the left ventricle is diffusely hypokinetic with regional variation. the estimated ejection fraction is 35 %. tricuspid valve - ivc, svc there is color and spectral doppler evidence of trace tricuspid insufficiency. pulmonary valve, infund., p. a. there is an insufficient tricuspid regurgitation doppler profile to estimate an rv systolic pressure. right ventricle the right ventricle is not dilated. the right ventricular systolic function is within normal limits. pericardial disease and extracardiac masses there is no evidence of pericardial effusion. 2 / 11 / 33 left heart cath 1 ) three vessel coronary artery disease. the left main is large and has only mild irregularities. the lad is diffusely diseased ( 30 - 40 % ) and has a distal 80 % stenosis. the left cx is totally occluded the lcx receives faint collaterals from the lad territority. the ramus branch has diffuse disease with a 80 % proximal stenosis and a 70 % mid stenosis. the rca is occluded proximally and there are right to right collaterals.</t>
  </si>
  <si>
    <t>temporal reasoning probably missing; asa use in eary years but no MI, so cant conclude that asa was for MI; later years has cardiac arr and aspirin is used; then again patient not on aspirin in the latest report</t>
  </si>
  <si>
    <t>The patient is taking fish oil, which is commonly used as a dietary supplement. This meets the inclusion criterion of having consumed a dietary supplement in the past 2 months.</t>
  </si>
  <si>
    <t>['asa 81 mg daily', 'coumadin as prescribed daily', 'coreg 12.5 mg bid', 'dipyridamole 75 mg tid', 'doxycycline 100 mg bid', 'esomeprazole 40 mg bid', 'glipizide xl 10 mg daily', 'simvastatin 40 mg daily', 'lexapro 10 mg daily', 'polymyxin drops', 'vitamin d']</t>
  </si>
  <si>
    <t>The model rationale incorrectly states that the patient is taking fish oil, which is not listed in the provided medications and supplements (rank 0). The evidence does not support the model's claim, leading to an extraction error.</t>
  </si>
  <si>
    <t>["201_0_1"]</t>
  </si>
  <si>
    <t>record date : 2077 - 10 - 31 ccu admit note xayavong, brandon mr # 7826250 date of admission : 10 / 30 / 77 attending : dr. umphrey id / cc : 56yom with anterior stemi, s / p lysis, cath showing large lad plaque hpi : mr xayavong is a 56yom with cardiac risk factors of dm, tobacco, htn who presents from osh with chest pain beginning at 10 : 30 the morning of admission. he says he doesn't remember what he was doing at the time, but was not engaged in strenuous activity. describes diaphoresis, then 7 / 10 pain from left shoulder into left arm and chest. he took advil without effect. he presented to carver hospital, where he was found to have ste v2 - 5, troponin i 0. 05, ck 248, mb 2. 8. he was started on full - dose integrilin, half - dose reteplase, and heparin gtt, transferred to gnc for emergent cath. lhc showed diffuse thrombotic lad disease, no interventions. iabp placed, sent to ccu for further monitoring and management. ros : as above, otherwise negative in detail. pmh : dm2 x 8 - 9 years, non - insulin dependent tobacco use htn toe infection medications : glipizide 5 bid avandia 2mg qd lisinopril 5mg qd allergies : nkda sh : patient lives in lake pocotopaug with wife. justice of the peace. 2ppd x 40y, denies etoh. fh : no early heart disease exam : vs : t = 98 hr = 70s bp = 130 / 70 rr = 14 sao2 = 99 % 2l general : nad heent : nc / at, perrl, anicteric. eomi. op w / mmm, no erythema or injection. skin : no rashes neck : supple, full rom, jvp flat, 2 + carotids w / o bruits, no thyromegaly or nodules, no nodes chest : cta &amp; p bilaterally cvs : rrr nl s1 s2, iabp in place abd : nl bs, soft, non - tender, no hsm extr : no c / c / e 2 + dp
******************
' s bilaterally, no hematoma, no bruit neuro : aaox3, ms nl, cn ii through xii intact, motor 5 / 5 ue and le, sensory intact. dtr's 2 + and symmetric in bilat le and ue. toes down bilaterally. data : chemistry : plasma sodium 137 ( 135 - 145 ) mmol / l plasma potassium 4. 4 ( 3. 4 - 4. 8 ) mmol / l plasma chloride 105 ( 100 - 108 ) mmol / l plasma carbon dioxide 20. 1 l ( 23. 0 - 31. 9 ) mmol / l calcium 8. 5 ( 8. 5 - 10. 5 ) mg / dl phosphorus 2. 9 ( 2. 6 - 4. 5 ) mg / dl magnesium 1. 4 ( 1. 4 - 2. 0 ) meq / l plasma urea nitrogen 19 ( 8 - 25 ) mg / dl plasma creatinine 1. 0 ( 0. 6 - 1. 5 ) mg / dl plasma glucose 245 h ( 70 - 110 ) mg / dl total protein 6. 3 ( 6. 0 - 8. 3 ) g / dl albumin 3. 9 ( 3. 3 - 5. 0 ) g / dl globulin 2. 4 l ( 2. 6 - 4. 1 ) g / dl direct bilirubin 0. 1 ( 0 - 0. 4 ) mg / dl total bilirubin 0. 4 ( 0. 0 - 1. 0 ) mg / dl triglycerides 231 h ( 40 - 150 ) mg / dl cholesterol 135 mg / dl high density lipoprotein 21 l ( 35 - 100 ) mg / dl low density lipoprotein 68 mg / dl cardiac risk ratio 6. 4 alkaline phosphatase 72 ( 45 - 115 ) u / l transaminase - sgpt 38 ( 10 - 55 ) u / l creatine kinase isoenzymes pend ( 0. 0 - 6. 9 ) ng / ml cpk isoenzymes index pend ( 0. 0 - 3. 5 ) % troponin - t pend ( 0. 00 - 0. 09 ) ng / ml transaminase - sgot 213 h ( 10 - 40 ) u / l creatine kinase pend ( 60 - 400 ) u / l heme : wbc 12. 7 h ( 4. 5 - 11. 0 ) th / cmm hc
******************
##i. - chest : clear to auscultation. - neck : jvp is approximately 8 cm. his neck is supple without thyromegaly. carotids are brisk without bruits. - heent : normocephalic. atraumatic. clear oral cavity. midline thyroid. - skin : no rashes, anicteric - general : he is a well - appearing gentleman in no acute distress. - bp : 82 / 50 ekg : v - paced rhythm @ 66bpm, left axis deviation, qtc - 517. selected recent labs : pending impression : 61 year old man with stage c new york heart association class iii heart failure. patient is scheduled for a right heart cath in 11 / 82. his ntprobnp is high, but since he is medically optimized we cannot further titrate his therapies. medication list confirmed - acetylsalicylic acid ( aspirin ) 81 po qam - aldactone 12. 5 mg po daily - esomeprazole 40 mg po daily - fish oil 000mg 1200mg po - glipizide 20 mg po bid before breakfast and before supper - lasix 40 mg po daily - lisinopril 5mg po daily - toprol xl 12. 5 mg po daily - warfarin 5 mg po qpm - - - - - - - - - - - - - - - - - - - - - - - - - - - - - - - - - - - - - - - - - - - - - - - - - - - - - - - - - - - - removed - omega3 1200 mg po bid crystal perez, md quintin d. quesada, md pager # 15657 signed electronically by crystal perez, md ; quintin d. quesada, md document status : final
******************
a history of cad ( s / p stemi and multiple stents ), chf ( s / p biv icd, class d and stage iii ), dm, and cri who was admitted for tailored therapy after a routine rhc demonstrated elevated filling pressures. # cv pump class iii, stage d heart failure without a clear precipitant leading to recent progressive decline ; has been compliant with medications and diet, no evidence of recent arrhythmia, and no signs of active infection. has been failing current medical regimen, and is presently listed for heart transplantation. last tte with an ef of 19 %. [ ] restart coumadin at home doses ( alternating between 5mg and 2. 5mg ) [ ] repeat tte preload : wedge pressures elevated ( 27 mmhg ), and will require more aggressive diuresis. goal of pcwp &amp; lt ; 20. [ ] bumex 1mg iv x1 - further boluses if not responsive afterload : calculated svr is ~ 1300. maps do not have a lot of room for further afterload reduction. [ ] change from lisinopril 5mg qd to captopril 12. 5mg tid - titrate as bp allows [ ] continue coreg 3. 125mg qd and spironolactone 12. 5mg qd inotropy : based on rhc, co 4. 7, ci 2. 07, and mvo3 is 73. no present indication for inotropic agents. # cv ischemia no acute clinical changes and completely asymptomatic presently. ekg with v - paced pattern not meeting criteria for acute st segment changes. continue with medical management. will check fasting lipids ; does not appear to have been on statin previously, so will start simvastatin and await lipid results. [ ] asa 81 qd [ ] fish oil [ ] start simvastatin 40mg po qd # cv rhythm trial - sensed, ventricularly - paced rhythm which is sinus in origin. no evidence of tachyarrhythmias clinically, and per his report, recent interrogation of his device also did not reveal arrhythmias. [ ] monitor on telemetry # diabetes mellitus will recheck a1c. on an unusual dose of bid glipizide and long - acting insulin, but independently verified with both the patient and his wife. [
******************
] lantus 24u qpm [ ] glipizide 20mg bid [ ] iss and fsbs qac and qhs [ ] f / u a1c # chronic renal insufficieny recent baseline appears to be ~ 1. 3 - 1. 5 ; admitted with cr of 1. 24. no active issues. [ ] follow cr # fen [ ] low cholesterol, low saturated fat, no added salt, fluid restriction of 2000cc # prophylaxis gi : omeprazole dvt : fragmin bowel : none # lines / tubes r pa line at 50cm. # code : presumed full. _ _ _ _ _ _ _ _ _ _ _ _ _ _ _ _ _ _ _ _ _ _ _ _ _ _ _ _ _ _ _ _ _ _ carl ison, md internal medicine, pgy - 2 pager # 24779
******************
home ( confirmed w / pt ) : asa 81 mg daily coumadin as prescribed daily coreg 12. 5 mg bid dipyridamole 75 mg tid doxycycline 100 mg bid esomesoprazole 40 mg bid glipizide xl 10 mg daily simvastatin 40 mg daily lexapro 10 mg daily polymyxin drops vitamin d allergies : digoxin - general intolerance sh : the patient lives with his wife. he is retired purchasing agent. he quit smoking 5 years ago ; used to smoke 1 ppd x 40 years. no alcohol or drug use. fh : heart disease in both mother's and father's side, but no early cad in the first - degree relatives, hypertension and hyperlipidemia in both sides. no history of stroke, brain tumor, seizure. physical exam : vitals : t 97. 8 f ; bp 114 / 82, hr 69, rr 18, 99 % on room air gen : nad. interactive. well developed. skin : no rashes or bruising. heent : normocephalic and atraumatic head ; pink conjunctiva, no evidence of icterus, teeth in good condition, moist mucous membranes, clear oropharynx. neck : supple. no lad. no masses or goiter. trachea midline. lungs : cta bilaterally with good flow. cv : rrr s1 / s2. no mgr. carotids 2 +. no jvd. extr : missing left great toe ; warm and well perfused, no evidence of clubbing, cyanosis, edema neuro : nih stroke scale item score ( possible range ) 1a - loc alert 0 ( 0 - 3 ) 1b - question 0 ( 0 - 2 ) 1c - commands 0 ( 0 - 2 ) 2 - horizontal gaze 0 ( 0 - 2 ) 3 - visual field 0 ( 0 - 3 ) 4 - facial palsy 0 ( 0 - 3 ) 5 - motor l arm 0 ( 0 - 4 ) 5 - motor r arm 0 ( 0 - 4 ) 6 - motor l leg 0 ( 0 - 4 ) 6 - motor r leg 0 ( 0 - 4 ) 7 - ataxia 0 ( 0 - 2 ) 8 - sensory 0 ( 0 - 2 ) 9 - language 0 ( 0 - 3 ) 10 - dysarthria 0 ( 0 - 2 ) 11 - extinction 0 ( 0 - 2 )</t>
  </si>
  <si>
    <t>assumes consumption is within 2 months</t>
  </si>
  <si>
    <t>The patient is taking several supplements that can be classified as dietary supplements, including vitamin B6, vitamin B12, folic acid, and a multivitamin (mvi). These substances are commonly used as dietary supplements, thus meeting the inclusion criterion.</t>
  </si>
  <si>
    <t>['diovan 320 mg', 'dilaudid 1 - 3 mg', 'norvasc 10 mg', 'vitamin b6 50 mg', 'clonidine tts - 3', 'zocor 20 mg', 'niferex 150 mg', 'lasix 20 mg', 'zestril 20 mg', 'nexium 40 mg', 'reglan 10 mg', 'labetalol 100 mg', 'plavix 75 mg', 'melatonin 1 mg', 'heparin 500 units', 'procrit 40,000 units', 'senokot one tab', 'levothyroxine 0.5 mg', 'ntg one inch', 'kytril 100 mcg', 'erythromycin 250 mg', 'vitamin b12 1000 mcg', 'folic acid 1 mg', 'albuterol 2 puffs', 'vancomycin 500 mg', 'coumadin 7.5 mg', 'isordil 20 mg', 'neurontin 300 mg', 'prilosec 20 mg', 'glipizide 2.5 mg', 'ultram 50 mg', 'mvi', 'rhinocort aqua', 'nitrostat prn']</t>
  </si>
  <si>
    <t>The model correctly identifies that the patient is taking several substances commonly used as dietary supplements, including vitamin B6, vitamin B12, folic acid, and a multivitamin (mvi), as evidenced by the list of medications and supplements (chroma_id: '216_1_3'). These substances meet the criterion definition of dietary supplements consumed in the past 2 months.</t>
  </si>
  <si>
    <t>["216_1_3"]</t>
  </si>
  <si>
    <t>( nausea ) medications on transfer diovan 320 mg po qday dilaudid 1 - 3 mg iv q4hours norvasc 10 mg po qday vitamin b6 50 mg po qday clonidine tts - 3 one weekly zocor 20 mg po qday niferex 150 mg po bid lasix 20 mg po qday zestril 20 mg po bid nexium 40 mg po qday reglan 10 mg iv q4hours prn n / v labetalol 100 mg po bid plavix 75 mg qday melatonin 1 mg po qhs and prn heparin 500 units sc tid procrit 40, 000 units qwednesday senokot one tab po qday levothyroxine? 0. 5mg po bid ntg one inch q6hours, hold if bp &lt; 100 riss kytril 100 mcg q8hrs prn erythromycin 250 mg po bid vitamin b12 1000 mcg qam folic acid 1 mg po qday albuterol 2 puffs qid and prn vancomycin 500 mg iv qday physical exam vitals : t 99 hr 96 bp 196 / 89 ( in pain ) improved to 156 / 67 o2 sats : 100 % on 2lnc, 96 % ra heent : pinpoint pupils, anicteric sclera, noninfected conjunctiva, no cervical lad cv : s1, s2, rrr, ii / vi murmur loudest at aortic area pulm : cta b / l breast exam : r breast significantly smaller than l. breast, no axillary lad either axilla, r. breast with thickening at scar at 7 o clock, small &lt; 1cm round mobile mass palpated between scar and nipple, non - tender, no discharge from nipple l. breast non tender, no palpable masses, no discharge from nipples abd : soft, tender to palpation with pain felt at site of touch and in back, no guarding, no rebound, no hsm, + bs ext : wwp neuro : cn ii - xii intact, ue strength 4 / 5 equal b / l at extensors and flexors apparently limited by pain, le strength 4 / 5 at extensors / flexors b / l also limited by pain ; sensation grossly intact at le, negative babinski b / l labs pending
******************
occured after an mri scan with right facial droop and slurred speech at srh. she was finally discharged to home on november 21st. meds : coumadin 7. 5 mg qd, norvasc 10 mg qd, isordil 20 mg tid, neurontin 300 mg po bid, plavix 75 mg po qd, prilosec 20 mg qd, folic aid 1 mg qd, synthroid 50 mcg qd, labetolol 200 mg bid, glipizide 2. 5 mg po qd, albuterol inhaler prn, erytab 250 bid, ultram 50 mg q 6hrs prn, mvi, vitamin b12 1000. rhinocort aqua, nitrostat prn, was d'cd from reglan, taking donperdon? pe : wdwn bf nad wt 135 lbs bp 100 / 64 heent : throat clear, eomi. perrl. neck : supple without adenopathy or thyromegaly. cor : rrr, no m's. lungs ; clear. abdomen ; soft, nontender no hsm. extr ; no edema. a / p : 74 yr old woman with multiple medical problems, s / p 5 month hospitalization. 1 ) diabetes. throughout her hospitalization she lost a lot of weight down from 160's to 170's last spring to current level of 135 lbs. insulin was stopped and just recently glipizide 2. 5 mg added on. recent hg a1c obtained after this visit on 12 / 04 / 02 was 6. 0. bun / cr was 11 / 0. 9. glucose 196. cholesterol 225 / 68 / 135. lft's were not done and need to be done, will be ordered next lab draw. if normalized then will add back lipitor. history of gastroparesis, on new med has replaced reglan, doing better. 2 ) hypertension. doing well on norvasc 10, labetolol 200 bid and isordil 20 tid. 3 ) s / p recent upper extremity dvt, on coumadin. per dr. herbert paris's note of 12 / 02, she needs 3 months of anticoag, and then 1mg / day until the portacath discontinued. with history 2 prior dvt's will need to discuss whether she should
******************
be on long term therapy. she is now getting fs inr's thru the vna, but will be transitioned to internal medicine, with access thru the portacath, or continued fs's. inr has been in good range with 7. 5 mg coumadin. 4 ) s / p compression fracture of t4, s / p vertebroplasty with successful resolution of the pain. has other compression fractures but not interested in further procedures at this time. 5 ) history of hypothyroidism. had recent labs at srh on 12 / 04 / 02 with tsh of 1. 3 and free t4 of 0. 9. 6 ) history of anemia, requiring procrit and? transfusions during her hospitalizations, with normal hct of 41. 1 on 12 / 04 / 02. 7 ) neuro ; history of partial seizures, tia's. followed by dr. gary keyes. history of silent cerebellar brain infarction on mri. history of moderate intracranial carotid stenosis, with recent? tia left hemisphere,? repeat carotid noninvasives per dr. keyes vs ct angiogram. on plavix and coumadin. per dr. keyes coumadin alone would be enough for stroke prophylaxis, and he would defer to dr. barry as to whether to continue plavix. 8 ) history of elevated lft's. may have been medication related, due to lipitor, actos, depakote. now off all meds, need redo as above, and consideration if normal of retrial of statin.
******************
causes rash medications on admission : albuterol inhaler coumadin 7. 5 mg ( 5 mg tablet take 1. 5 ) po qpm ery - tab ( erythromycin ) 250 mg ( 250 mg tablet take 1 ) po bid, take with food. glipizide 2. 5 mg ( 2. 5 mg tab osm 24 take 1 ) po q nitrostat 1 / 150 ( nitroglycerin 1 / 150 ( 0. 4 mg ) ) 1 tab ( 0. 4mg tab subl ) sl prn norvasc ( amlodipine ) 10 mg ( 10mg tablet take 1 ) po qd plavix 75 mg ( 75 mg tablet take 1 ) po qd synthroid 50 mcg tablet po qd, no substitutes ultram ( tramadol ) 50 mg ( 50mg tablet take 1 ) po q6h prn motillium 10 mg q6hours labetalol 200 mg bid family history : notable for brother, sister, and children with cad, htn ; mother with history of cancer ; sisters and brothers with dm ; sister and brother - in - law with tb. social history : lives with daughter and other family members. denies tobacco / etoh. no illicits. physical exam : vitals : afebrile 86 161 / 69 20 100 % on ra orthostatics : recumbent 125 / 70 82 seated 128 / 70 88 standing 125 / 75 102 gen l nad, non - toxic appearing, ao x 3 heent mmm, no scleral icterus, no pale conjunctiva neck supple, no thyromegaly, no lad. jvp &lt; 5 cm, no carotid bruits appreciated heart : rrr, normal s1, s2 ; ii / vi systolic murmur lung : cta bilaterally with no c / r / w ; no increased work of breathing abd : soft, non - tender, non - distended, nabs. no hsm. no masses, rebound. ext : wwp, no edema neuro : ao x 3 ; alert ; cn ii - xii grossly intact ; surgical pupils s / p cataract surgery. motor : 5 / 5 b ue / le ; sensation grossly intact to light touch ram intact ; no pronator drift results : chemistry lytes / renal / glucose sodium 140 135 - 145 mmol / l 07 / 29
******************
18 : 14 amylase 63 3 - 100 units / l 07 / 28 / 03 20 : 05 lipase 2. 2 1. 3 - 6. 0 u / dl 07 / 28 / 03 20 : 05 0. 9 ( l ) 09 / 13 / 02 17 : 01 liver function tests alt ( sgpt ) ( u / l ) 7 7 - 30 u / l 07 / 28 / 03 20 : 05 ast ( sgot ) 16 9 - 32 u / l 07 / 28 / 03 20 : 05 38 ( h ) 09 / 13 / 02 17 : 01 alk phos 159h 30 - 100 u / l 07 / 28 / 03 20 : 05 159 ( h ) 07 / 28 / 03 20 : 05 bilirubin ( to... 0. 1 0. 0 - 1. 0 mg / dl 07 / 28 / 03 20 : 05 bilirubin ( di... 0. 1 0 - 0. 4 mg / dl 07 / 28 / 03 20 : 05 cardiac tests ck 100 40 - 150 u / l 07 / 29 / 03 05 : 57 34 ( l ) 08 / 31 / 02 08 : 03 ck - mb 4. 0 0. 0 - 6. 9 ng / ml 07 / 29 / 03 05 : 56 ck - mb index see detail 07 / 29 / 03 05 : 59 troponin - i negative neg 07 / 28 / 03 17 : 55 troponin - t &lt; 0. 01 0. 00 - 0. 09 ng / ml 07 / 29 / 03 05 : 56 neg x 2 tsh pend 0. 40 - 5. 00 uu / ml 07 / 29 / 03 05 : 22 urine chemistries random sodium, urine 27 notdef mmol / l 09 / 04 / 02 20 : 59 un, urine 370 notdef mg % 09 / 04 / 02 21 : 03 creatinine, u... 2. 66 mg / ml 09 / 04 / 02 22 : 04 osmolality, u... 408 notdef mosm / kg 09 / 04 / 02 21 : 02 hematology complete blood count wbc 4. 2l 4. 5 - 11. 0 th / cmm 07 / 29 / 03 06 : 04 4. 2 ( l ) 07 / 29 / 03 06 : 04 rbc 4. 28 4. 00 - 5. 20 mil / cm 07 / 29 / 03 06 : 04 3. 99 ( l ) 08
******************
22 date of test 09 / 23 / 04 gender : female location : chest lab height : 65 in referring physician : weller, mark weight : 145 lb attending physician : knox, keith d race : black technician : mt572 resp. diagnosis : 786. 09 study status : final spirometry ( btps ) predicted pre - bd post - bd percent range change mean 95 % ci actual % pred actual % predfvc ( lts ) 2. 33 1. 65 1. 38 59 1. 38 59 0fev1 ( lts ) 1. 67 1. 11 1. 02 61 1. 08 65 6fev6 ( lts ) 1. 97 1. 25 1. 38 70 1. 38 70 0fev1 / fvc ( % ) 73 64 74 101 78 107 5fev1 / fev6 ( % ) 78 69 74 95 78 100 5fef25 _ 75 ( l / s ) 1. 23 0. 09 0. 71 58 0. 94 76 32pefr ( l / s ) 3. 88 1. 81 4. 95 128 4. 62 119 - 7fet ( secs ) 6. 67 7. 64 15 physician interpretationfev1 and fvc are reduced, fev1 / fvc is normal. there was not a significantresponse to inhaled bronchodilator. the reduced fvc is consistent with arestrictive deficit. suggest lung volumes if clinically indicated. since6 / 03 / 04, the fev1 and fvc have not changed. impression and recommendations : doe is likely multifactorial. it may be beneficial to separate cardiac from pulmonary limitatio from deconditioning and i recommended a cardio - pulmonary exercise test to the patient, to which she agreed. in addition, as previously discussed, she would benefit from pulmonary rehab. finally, i am not sure how much asthma is contributing to the picture. there was no response to brnonchodialtor today and the patient does not feel any help from it either. i told her that she does not need to use albuterol if it doesn't help her. i've requested rast allergy testing to further investigate the possiblity of allergic asthma. we will not do the methacholine challange testing due to patient's already deacreased fev1 ( due to restriction ) as it might be dangerous to precipitate bronchoconstriciton</t>
  </si>
  <si>
    <t>the model assumes temporal validity</t>
  </si>
  <si>
    <t>The patient's serum creatinine level is reported as 1.4 mg/dl, which is within the normal range (0.6 - 1.5 mg/dl). Therefore, the patient does not meet the inclusion criterion of having a serum creatinine level above the upper normal limit.</t>
  </si>
  <si>
    <t>['lisinopril 2.5 mg po daily', 'atenolol 100 mg po daily', 'lovastatin 20 mg po qpm', 'omeprazole 20 mg po daily', 'lasix 20 mg po daily', 'aspirin 81 mg po daily']</t>
  </si>
  <si>
    <t>The model correctly identifies that the patient's serum creatinine level is 1.4 mg/dl, which is within the normal range of 0.6 - 1.5 mg/dl as per the evidence (chroma_id: '218_0_2'). Therefore, the patient does not meet the criterion of having a serum creatinine level above the upper normal limit.</t>
  </si>
  <si>
    <t>["218_0_2"]</t>
  </si>
  <si>
    <t>102 ( 100 - 108 ) mmol / l co2 ( stat lab ) 22. 5 l ( 23. 0 - 31. 9 ) mmol / l bun ( stat lab ) 67 h ( 8 - 25 ) mg / dl creatinine ( stat lab ) 1. 4 ( 0. 6 - 1. 5 ) mg / dl glucose ( stat lab ) 291 h ( 70 - 110 ) mg / dl calcium 9. 2 ( 8. 5 - 10. 5 ) mg / dl phosphorus 3. 9 ( 2. 6 - 4. 5 ) mg / dl magnesium 1. 6 ( 1. 4 - 2. 0 ) meq / l total protein 6. 5 ( 6. 0 - 8. 3 ) g / dl albumin 3. 5 ( 3. 3 - 5. 0 ) g / dl globulin 3. 0 ( 2. 6 - 4. 1 ) g / dl direct bilirubin 0. 1 ( 0 - 0. 4 ) mg / dl total bilirubin 0. 3 ( 0 - 1. 0 ) mg / dl alkaline phosphatase 67 ( 45 - 115 ) u / l transaminase - sgpt 16 ( 10 - 55 ) u / l amylase 16 ( 3 - 100 ) units / l lipase 2. 5 ( 1. 3 - 6. 0 ) u / dl transaminase - sgot 28 ( 10 - 40 ) u / l creatine kinase isoenz borderline ( neg ) troponin - i negative ( neg ) creatine kinase isoenz 13. 2 h ( 0. 0 - 6. 9 ) ng / ml cpk isoenzymes index 12. 8 h ( 0. 0 - 3. 5 ) % troponin - t 0. 06 ( 0. 00 - 0. 09 ) ng / ml creatine kinase 103 ( 60 - 400 ) u / l admission : wbc 18. 4 h ( 4. 5 - 11. 0 ) th / cmm hct 22. 2 l ( 41. 0 - 53. 0 ) % hgb 7. 4 l ( 13. 5 - 17. 5 ) gm / dl rbc 2. 25 l ( 4. 50 - 5. 90 ) mil / cmm plt 243 ( 150 - 350 ) th / cumm mcv 99 ( 80 - 100 ) fl mch 33. 0 ( 26. 0 - 34. 0 ) pg / rb
******************
sample, iv access b. hct increased from 22. 2 to 24. 7 after 2u prbcs. given cad history, will transfuse one more unit c. gi consult for possible egd ( pt likely also needs colonoscopy given h / o tubular adenoma ) d. iv zantac e. hold aspirin for now 2. cv a. ischemia - tvi on admission on ecg from ed. will cycle cardiac enzymes. hold aspirin for now given gib. continue beta blocker both for ischemia protection and af rate control ; will hold other anti - hypertensives for now b. rhythm - unclear duration of afib so immediate cardioversion not an option ( avoid tee in the setting of ugib ) ; lopressor for rate control ; no anticoagulation for now ; central telmetry c. pump - no active issues 3. increased wbc a. unclear etiology? reactive b. afebrile, no signs of infection ; will follow 4. diabetes a. ssi john kirk, md intern in medicine pager 92915
******************
64 blood pressure 130 / 68 weight 129 neck carotids 1 +, jvp 6 cm, no nodes, thyroid non palpable chest cta, except few crackles l &gt; r cor rrr, normal s1, split s2, no murmur abdomen soft nt extrem 1 + edema, radial pulses 2 +, popliteal / dp 1 +, djd at base of 1st mc right assessment and plan 1. cad : s / p mi, chf seems well controlled at this time. class ii. continue furosemide at 40 mg po qd. call with increased weight. continue bb, statin, acei and asa. last ldl 55 ( 10 / 92 ) - check again today. 2. pud : s / p rx for h. pylori, completed 4 weeks of ppi. resolved 3. dm : hba1c 6. 8 %, no meds - check today. needs to adhere to diet. 4. hcm : fluvax when available, did not want c - scope. selected recent labs cmp / chol / cbc / hba1c disposition rtc 3 months signed electronically by eggleston, william on jan 31, 2094
******************
procedures and immunizations influenza vaccine received 11 / 95 mll review of systems as above, no abdominal pain, no urinary complaints. no complaints of constipation or rectal pain. no brbpr. nocturia x 1 - 2. rest negative in detail. physical exam blood pressure 124 / 70 pulse 68 irregular weight 136 general appearance elderly man appears well neck carotids 1 +, jvp 8 cm, no nodes, thyroid non palpable chest cta except right greater than left basilar crackles cor rrr, normal s1, wide split s2, no murmur abdomen soft nt no masses extrem no edema, radial pulses 2 +, popliteal / dp 1 +, djd at base of 1st mc right selected recent labs ekg - af at 68, new rbbb, lah. cmp / cbc / hba1c urine for albumin assessment and plan 1. af : recurrence of his af, but no significant chf and no symptoms to suggest active ischemia. he is already rate controlled on beta blocker. decision to anti - coagulate is not easy. on one hand, he is a very functional man. on the other hand, he is 88, walks with a cane for balance, and is not very fond of frequent doctors visits. discussed ekg findings and anticoagulation with dr. youmans, his cardiologist. dr. youmans will see patient next week. 2. cad / chf : stable - continue asa / bb / acei / statin. bp ok. 3. dm : hba1c normal on low dose glyburide. ( + ) microalb - on acei - check again today. 4. pud : no recent bleeding. no symptoms. 5. hcm : flushot 11 / 95. declines c - scope ( last 2087 ). disposition rtc 3 months - william eggleston, md pager # 40547 signed electronically by william eggleston, md document status : final
******************
##rp 2086 5. peptic ulcer : admitted with gi bleed - hct to 22, egd - two gastric and one duodenal ulcer ( 11 / 92 ). h. pylori ( + ) - treated with 2 week course of aoc and one month ppi. medications : lisinopril 2. 5 mg po qd, atenolol 100mg po qd, lovastatin 20mg po qpm, aspirin 81mg po qd, nitroglycerin 0. 3mg prn glyburide 1. 25mg po qd, omeprazole 20 mg po bid allergies : no known drug allergy family history : no cancer, he has 2 sisters in their 80's. twin brother died of cad in his 70's. social history : married, 4 daughters from previous marriage. 3 sons each killed in separate mva. former smoker quit 20 years ago, ( + ) etoh - 1 - 2 per night. 11 grandchildren, 9 ggc review of systems : as above, no abdominal pain, no urinary complaints. no complaints of constipation or rectal pain. no brbpr. nocturia x 1 - 2. no dysuria, no hematuria, no incontinence. rest negative in detail. physical exam : elderly man appears well blood pressure : 130 / 70's pulse : 82 irregular respiratory rate : 12 - 16 weight : 136 heent : eomi, sclera ni, o / p normal neck : carotids 1 +, jvp 6 cm, no nodes, thyroid non palpable chest : cta cor : irregular, normal s1, wide split s2, no murmur abdomen : soft nt no masses extrem : no edema, radial pulses 2 +, popliteal / dp 1 +. limited shoulder abduction to 80 degrees. neuro : cn intact, motor = bilateral, reflexes 1 + upper and lower extremity. finger to nose limited by shoulder limits. labs : chem 7 normal, wbc 12. 3, hct 36. 7, normal lfts, tnt negative x 3, tsh normal. ekg : af, lad, rbbb, old inferior mi, no st depressions or twi ( no change from 3 / 96 ekg ) head ct with right caudate nucleus lacune mri / mra : small chronic
******************
brbpr. his wife notes one episode of hematemesis yesterday. no lightheadedness, dizziness, doe, sob. in the ed, hypotensive to 60's / 70's sbp, hct 19, his abd ct was negative. inr pending. he was started on pressors ( levophed and vasopressin ) and transferred to the micu for ongoing care. currently the patient has no abdominal pain, nausea, vomiting, diarrhea, melena, or brbpr. _ _ _ _ _ _ _ _ _ _ _ _ _ _ _ _ _ _ _ _ _ _ _ _ _ _ _ _ _ _ _ _ _ _ _ _ _ _ _ _ _ _ _ _ _ _ _ _ _ _ _ _ _ _ _ _ _ _ _ _ _ _ _ _ _ _ general : denies weight loss, fatigue, fevers, change in appetite, sweats, chills heent : denies headaches, no vision complaints or changes, no nasal discharge or epistaxis, no sore throat, no neck swelling or stiffness cardiac : denies chest pain, palpitations, arrhythmias, valve disease, hypertension respiratory : denies cough, sob, doe, hemoptysis, wheezing, hoarseness gastrointestinal : denies nausea, vomiting, constipation, diarrhea. no melena or abdominal pain neurologic : denies seizures, weakness, numbness / tingling. musculoskeletal : denies back pain, neck pain, leg pain, arm pain hematologic : as per hpi pmhx : asbestosis atrial fibrillation, chronic, no anticoag given fall risk coronary artery disease diabetes mellitus osteoarthritis benign prostatic hypertrophy cerebrovascular accident medications : home meds : lisinopril 2. 5 mg po daily atenolol 100mg po daily lovastatin 20mg po qpm take with food omeprazole 20 mg po daily lasix 20 mg po daily 1 - 2 tabs daily aspirin 81mg po daily current medications : vanco flagyl meropenem albuterol atrovent vasopressin norepinephrine insulin nexium iv allergies : nkda family history : no cancer, he has 2 sisters in their 80's. twin brother died of cad in his 70's. social</t>
  </si>
  <si>
    <t>The patient is taking a multivitamin, which is commonly considered a dietary supplement. Therefore, the patient meets the inclusion criterion of having consumed a dietary supplement in the past 2 months.</t>
  </si>
  <si>
    <t>['lisinopril 2.5 mg po daily', 'atenolol 100mg po daily', 'lovastatin 20mg po qpm', 'omeprazole 20 mg po daily', 'lasix 20 mg po daily', 'aspirin 81mg po daily', 'nexium iv', 'multivitamin']</t>
  </si>
  <si>
    <t>The model rationale correctly identifies that the patient is taking a multivitamin, which is commonly considered a dietary supplement. This aligns with the criterion definition that includes substances commonly used as dietary supplements. The evidence from the medications and supplements list confirms the presence of a multivitamin (rank 0).</t>
  </si>
  <si>
    <t>["218_0_1"]</t>
  </si>
  <si>
    <t>, ptca to mid - lad lesion, 90 % rca, occluded om2 c. ett - mibi 6 / 87 - 75 % mphr, 8 mets. 0. 5 - 1 mm st depressions in inferior and percordial ( v4, v5 ) leads ; imaging showed inferior and posterior ischemia d. echo 3 / 87 - ef 67 %, la 37mm, no wma 2. bph 3. oa / djd bilateral shoulders 4. colonoscopy 2087 - hemorrhoids, diverticulosis, single tubular adenoma excised ; no endoscopy since then 5. dm ii - diet controlled ; last a1c 6. 6 ( 10 / 92 ) 6. hyperlipidemia - chol 111, ldl 55 hdl 33, tri 115 ( 10 / 92 on treatment ) meds : 1. atenolol 100 qd 2. isordil 30 qid 3. asa 81 qd 4. lisinopril 20 qd 5. sl tng prn 6. mvi 7. lipitor 10 qd allergies : nkda shx : lives with wife ; walks around the mall daily tobacco - quit &gt; 35 years ago etoh - 2 mixed drinks ( vodka ) per night ; denies anything more drugs - none pe : vitals 95. 0 115 / 58 87 18 98 % ra general : no acute distress heent : sclera anicteric ; eomi, perrla, op without masses or infiltrate neck : jvp flat ; carotid pulses brisk and symmetric ; no carotid bruits ; no thyromegaly ; no cervical or supraclav. lad lungs : cta b cardiac : irreg irreg, nl s1s2, no m / r / g abd : soft, nt / nd, pos. bs, no hsm rectal : guaiac positive, normal tone ( per ed resident ) ext : no axillary or inguinal lad ; no c / c / e msk : significantly limited and painful rom at both shoulders neuro : a &amp; o x 3 ; cn ii - xii intact ; otherwise non - focal labs : sodium ( stat lab ) 134 l ( 135 - 145 ) mmol / l potassium ( stat lab ) 3. 9 ( 3. 4 - 4. 8 ) mmol / l chloride ( stat lab )
******************
##c mchc 33. 4 ( 31. 0 - 37. 0 ) g / dl rdw 15. 6 h ( 11. 5 - 14. 5 ) % superstat pt 14. 0 h ( 11. 1 - 13. 1 ) sec superstat aptt 25. 3 ( 22. 1 - 35. 1 ) sec ua - specific gravity &lt; 1. 005 ( 1. 001 - 1. 035 ) ua - ph 5. 0 ( 5. 0 - 9. 0 ) ua - wbc screen negative ( neg ) ua - nitrite negative ( neg ) ua - albumin negative ( neg ) ua - glucose trace ( neg ) ua - ketones negative ( neg ) ua - occult blood negative ( neg ) wbc 17. 2 h ( 4. 5 - 11. 0 ) th / cmm hct 24. 7 l ( 41. 0 - 53. 0 ) % hgb 8. 6 l ( 13. 5 - 17. 5 ) gm / dl rbc 2. 65 l ( 4. 50 - 5. 90 ) mil / cmm plt 210 ( 150 - 350 ) th / cumm mcv 93 ( 80 - 100 ) fl mch 32. 5 ( 26. 0 - 34. 0 ) pg / rbc mchc 35. 0 ( 31. 0 - 37. 0 ) g / dl rdw 16. 8 h ( 11. 5 - 14. 5 ) % studies : ekg af ( 92 ) lad twi i, l, v6 cxr impression : there are linear opacities at both bases consistent with subsegmental atelectasis. bilateral calcified pleural plaques are consistent with asbestos exposure. there is no pneumothorax. no pleural effusions are visualized. there is extensive change including both shoulders. assessment : 85 y / o with medically management multivessel cad who presents with light - headedness, fatigue and anemia. likely coffee gound emesis, melana and increased bun concerning for ugib. given history of alcohol consumption ( suspect that consumption may be slightly more than given by history ) and nsaid use, gastritis is a possibility. no clear reason for other sources of ugib. pt also found to be in afib of unknown duration. unclear if afib was prompted by anemia due to ugib. plan : 1. ugib a. active blood back
******************
64 blood pressure 130 / 68 weight 129 neck carotids 1 +, jvp 6 cm, no nodes, thyroid non palpable chest cta, except few crackles l &gt; r cor rrr, normal s1, split s2, no murmur abdomen soft nt extrem 1 + edema, radial pulses 2 +, popliteal / dp 1 +, djd at base of 1st mc right assessment and plan 1. cad : s / p mi, chf seems well controlled at this time. class ii. continue furosemide at 40 mg po qd. call with increased weight. continue bb, statin, acei and asa. last ldl 55 ( 10 / 92 ) - check again today. 2. pud : s / p rx for h. pylori, completed 4 weeks of ppi. resolved 3. dm : hba1c 6. 8 %, no meds - check today. needs to adhere to diet. 4. hcm : fluvax when available, did not want c - scope. selected recent labs cmp / chol / cbc / hba1c disposition rtc 3 months signed electronically by eggleston, william on jan 31, 2094
******************
##rp 2086 5. peptic ulcer : admitted with gi bleed - hct to 22, egd - two gastric and one duodenal ulcer ( 11 / 92 ). h. pylori ( + ) - treated with 2 week course of aoc and one month ppi. medications : lisinopril 2. 5 mg po qd, atenolol 100mg po qd, lovastatin 20mg po qpm, aspirin 81mg po qd, nitroglycerin 0. 3mg prn glyburide 1. 25mg po qd, omeprazole 20 mg po bid allergies : no known drug allergy family history : no cancer, he has 2 sisters in their 80's. twin brother died of cad in his 70's. social history : married, 4 daughters from previous marriage. 3 sons each killed in separate mva. former smoker quit 20 years ago, ( + ) etoh - 1 - 2 per night. 11 grandchildren, 9 ggc review of systems : as above, no abdominal pain, no urinary complaints. no complaints of constipation or rectal pain. no brbpr. nocturia x 1 - 2. no dysuria, no hematuria, no incontinence. rest negative in detail. physical exam : elderly man appears well blood pressure : 130 / 70's pulse : 82 irregular respiratory rate : 12 - 16 weight : 136 heent : eomi, sclera ni, o / p normal neck : carotids 1 +, jvp 6 cm, no nodes, thyroid non palpable chest : cta cor : irregular, normal s1, wide split s2, no murmur abdomen : soft nt no masses extrem : no edema, radial pulses 2 +, popliteal / dp 1 +. limited shoulder abduction to 80 degrees. neuro : cn intact, motor = bilateral, reflexes 1 + upper and lower extremity. finger to nose limited by shoulder limits. labs : chem 7 normal, wbc 12. 3, hct 36. 7, normal lfts, tnt negative x 3, tsh normal. ekg : af, lad, rbbb, old inferior mi, no st depressions or twi ( no change from 3 / 96 ekg ) head ct with right caudate nucleus lacune mri / mra : small chronic
******************
brbpr. his wife notes one episode of hematemesis yesterday. no lightheadedness, dizziness, doe, sob. in the ed, hypotensive to 60's / 70's sbp, hct 19, his abd ct was negative. inr pending. he was started on pressors ( levophed and vasopressin ) and transferred to the micu for ongoing care. currently the patient has no abdominal pain, nausea, vomiting, diarrhea, melena, or brbpr. _ _ _ _ _ _ _ _ _ _ _ _ _ _ _ _ _ _ _ _ _ _ _ _ _ _ _ _ _ _ _ _ _ _ _ _ _ _ _ _ _ _ _ _ _ _ _ _ _ _ _ _ _ _ _ _ _ _ _ _ _ _ _ _ _ _ general : denies weight loss, fatigue, fevers, change in appetite, sweats, chills heent : denies headaches, no vision complaints or changes, no nasal discharge or epistaxis, no sore throat, no neck swelling or stiffness cardiac : denies chest pain, palpitations, arrhythmias, valve disease, hypertension respiratory : denies cough, sob, doe, hemoptysis, wheezing, hoarseness gastrointestinal : denies nausea, vomiting, constipation, diarrhea. no melena or abdominal pain neurologic : denies seizures, weakness, numbness / tingling. musculoskeletal : denies back pain, neck pain, leg pain, arm pain hematologic : as per hpi pmhx : asbestosis atrial fibrillation, chronic, no anticoag given fall risk coronary artery disease diabetes mellitus osteoarthritis benign prostatic hypertrophy cerebrovascular accident medications : home meds : lisinopril 2. 5 mg po daily atenolol 100mg po daily lovastatin 20mg po qpm take with food omeprazole 20 mg po daily lasix 20 mg po daily 1 - 2 tabs daily aspirin 81mg po daily current medications : vanco flagyl meropenem albuterol atrovent vasopressin norepinephrine insulin nexium iv allergies : nkda family history : no cancer, he has 2 sisters in their 80's. twin brother died of cad in his 70's. social
******************
history : married, lives w / his wife independently though less active recently. tobacco : smoked from age 7 to 15, has not smoked since 15. etoh : drinks 1 - 2 black russians per day, previously slightly more ( vodka ) physical exam : t p 75 bp 98 / 56 ( on pressors ) rr 16 o2 sat 99 % on 2l gen : nad heent : conjunctiva pale, no appreciable scleral icterus, perrla neck : supple, no lad resp : ctab cv : rrr. no r / g / m abd : soft, nt / nd, no hsm, no fluid wave appreciated, no masses, nabs skin : no apparent jaundice ext : no c / c / e rectal : guaiac + labs : date / time na k cl co2 12 / 18 / 2096 136 4. 2 97 ( l ) 16. 9 ( l ) date / time bun cre glu 12 / 18 / 2096 64 ( h ) 1. 7 ( h ) 245 ( h ) date / time lact amy lips 12 / 18 / 2096 9. 3 ( h ) 12 / 18 / 2096 19 24 date / time alt / sgpt ast / sgot alkp tbili 12 / 18 / 2096 18 63 ( h ) 67 0. 6 date / time dbili 12 / 18 / 2096 0. 4 date / time wbc hct mcv plt 12 / 18 / 2096 14. 3 ( h ) 19. 5 ( l ) 108 ( h ) 247 12 / 15 / 2096 9. 0 31. 3 ( l ) 104 ( h ) 196 studies : dec 13th egd impression : - la grade d esophagitis. it could represent reflux esophagitis, barrett's esophagitis or underlying malignancy. biopsied. - two gastric ulcers with clean bases in the prepyloric area which were biopsied. - normal examined duodenum. impression : 89m with pmh gastric ulcers and severe esophagitis who returns with hct drop. in the setting of guaiac positive stool, he may have bleeding from his gastric ulcers or from the severe esophagitis that was seen endoscopically last week. he may have a visible vessel at the ulcer site. alternatively, he</t>
  </si>
  <si>
    <t>The patient has a reported glucose level of 230, which indicates hyperglycemia and suggests poorly controlled diabetes. However, there are no documented major diabetes-related complications such as amputation, kidney damage, skin conditions, retinopathy, nephropathy, or neuropathy in the clinical notes. The patient does not report any symptoms or complications related to diabetes, and while they have a history of hyperglycemia, it does not meet the criteria for a major complication at this time.</t>
  </si>
  <si>
    <t>['toprol xl 75mg daily', 'asa 81mg daily', 'plavix 75mg daily', 'lipitor (unknown dose)', 'mvi']</t>
  </si>
  <si>
    <t>The model rationale correctly identifies that the patient has a glucose level of 230, indicating hyperglycemia, but there is no evidence of major diabetes-related complications such as amputation, kidney damage, skin conditions, retinopathy, nephropathy, or neuropathy in the provided clinical notes. The evidence supports the model's conclusion that the patient does not meet the criterion for major diabetes-related complications at this time. This is consistent with the criterion definition and the evidence provided (chroma_id: '224_0_1').</t>
  </si>
  <si>
    <t>["224_0_1"]</t>
  </si>
  <si>
    <t>record date : 2083 - 01 - 12 ccu admission note patient is transferred from florida hospital orland otto qazi mr # 527 - 62 - 21 date of admission : january 12, 2083 admitting jar : hunter hayden, md attending : quinten prado, md reason for transfer : stemi hpi : 58yom with h / o cad, htn, smoking ; presents to fho with chest pain and found to have lateral stemi. he experienced mild central chest pain on the night prior to admission while working outdoors, pain resolved after about an hour and he attributed it to gerd. however, he awoke at 5 : 30 am on the morning of presentation with recurrence of chest pain, 6 / 10 severity, lasted for about 15 - 30 minutes and then resolved with maalox. pain recurred about 9 : 30, of similar severity, associated with dyspnea, diaphoresis, non radiating, non - pleuritic. he again took zantac and maalox without improvement. after 15 minutes he walked to the local hospital er and during walk the pain increased in severity to 8 / 10. he describes the pain as similar to his previous mi. upon arrival to fho found to have st elevations antero - lateral. given lopressor, heparin, integrillin, morphine, asa, and medivac to wch arranged for cath. he states that by the time he was in transit, his chest pain had resolved. he arrived at wch, was taken directly to cath lab, found to have a proximal lad lesion with cypher stent placed. he remained chest pain free following the procedure and was sent to the ccu in stable condition. at baseline he states he can walk a couple of miles without rest, he rarely takes stairs on a daily basis. he smokes profusely and has little interest in quitting. he feels he has had no occurrence of chest pain since last one. however, he does report that his plavix was stopped recently, and he has difficulty affording all his medications. ros : gen : denies f / c / ns heent : no dysphagia, throat pain chest : no cough, dyspnea cv : denies orthopnea, pnd gi : no hematochezia, melena skin : no rash pmhx : cad : cath 1 / 73 : 80 % prox rca stenosis w
******************
/ thrombus, mod d1 stenosis, clear lcx. lv gram ef 69 %, normal motion. cath 9 / 81 : critical proximal ramus lesion. rca with proximal 40 % lesion, patent rca stent. patent left main, apical lad with 99 % lesion with l - l collaterals. cfx 35 % mid lesion. normal lvedp, no as. lvf 50 - 55 %. also with h / o rca stent, unclear where procedure was done and patient unable to recall details. htn hyperlipidemia medications on admission : toprol xl 75mg daily asa 81mg daily plavix 75mg daily lipitor ( unknown dose ) mvi allergies : nkda sh : works as an is consultant in east liverpool. also a counsellor. he has h / o drug / etoh abuse but denies x 25 years. he is not married, no children. tobacco : + for 40 years 2 - 4ppd. fh : mother : deceased in 60 s with leukemia father : extensive cad, with first mi in 50 s. had mi x7, died in 70s. exam : vs : t 97. 2 hr 57 bp 102 / 62 rr 18 o2 96 % general : obese, non - toxic appearing wm, nad heent : nc / at, mm dry, op clear without lesion to oral mucosa skin : no evidence of rash, wound. neck : supple, full rom, 2 + carotids w / o bruits, no thyromegaly or nodules, no nodes chest : cta b, no crackles, rhonchi, wheeze. cvs : pmi nondisplaced, rrr nl s1 s2, no m / r / g abd : soft / nontender / non - distended extr : no c / c / e 2 + dp's bilaterally, no hematoma or bruit femoral b. oozing from r femoral stick. neuro : aaox3, ms nl, non - focal / non - lateralizing. data : na 133 ( l ) k 3. 9 cl 107 co2 22. 4 ( l ) bun 11 cre 0. 9 glu 230 ( h ) ck - mb 11. 3 ( h ) trop - t 0. 18 ( h ) wbc 9. 7 rbc 4. 14
******************
( l ) hgb 13. 5 hct 36. 6 ( l ) mcv 88 mch 32. 7 mchc 37. 0 plt 159 rdw 13. 1 cxr : ekg : fho presentation : sinus at 80bpm, left axis, normal intervals, 1 - 2mm st elevations / hyperacute tw v2 - v3, 1mm stelevation i / avl, 1mm st depression / twi ii / iii / avf. admission to ccu s / p cath : resolution of st elevations i / avl, persistent twi avl, qwaves v2 - v3, 1mm ste v2 - v3, tw height has improved ; st depressions inferior leads have resolved. cxr : no focal opacity or airspace disease. no evidence of chf. _ _ _ _ _ _ _ _ _ _ _ _ _ _ _ _ _ _ _ _ _ _ _ _ _ _ _ _ _ _ _ _ _ _ _ _ _ _ _ _ _ _ _ impression : 58yom with risk factors including cad, htn, hl, presents with evidence of antero - lateral infarction by ekg and history transferred from osh for cath and pci. he is stable post - cath, with resolving ekg changes ; had cypher stent to proximal lad felt to be the culprit lesion due to the ekg changes. he continues to be chest pain free post - cath. plan : ischemia : bb, asa 325mg, plavix, lipitor 80mg daily. continue integrillin for 12 hours follow markers, daily ekg lipids, hba1c cardiac rehab, smoking cessation consult, nutrition counseling rhythm : currently sinus rhythm lopressor monitoring in ccu for arrhythmia pump : no h / o chf given anterior infarct, will obtain tte prophy : nexium, when off integrillin consider add lovenox prophylactically dispo : to sdu when stable x 24h and markers peak. _ _ _ _ _ _ _ _ _ _ _ _ _ _ _ _ _ _ _ _ _ _ _ _ _ _ _ _ _ _ _ _ _ l. hunter hayden, md pager # 50173
******************
##on, difficulty swallowing, nausea vomiting jaundice, unusual constipation or diarrhea, black or bloody stools. urinary : frequent urination at night, urinary infections, kidney stones, blood in the urine. neurologic : transient paralysis, seizures, loss of vision in one eye, numbness or tingling in the feet. hematologic : easy bruising, recurrent infections. skin : new rashes or eruptions, poor healing of foot sores, moles changing in size or color. endocrine : polyuria, polydipsia, heat or cold intolerance. musculoskeletal : low back pain, joint pains, joint swelling. physical examination : - temp : afebrile - pulse : 60 - resp. rate : 14 - general : no acute distress. - skin : no rashes, anicteric. - heent : unremarkable - neck : carotids 2 + without bruits. jvp no jugular venous distention. - chest : clear to auscultation and percussion. - cardiac : left ventricular impulse discrete and nondisplaced. regular rate and rhythm, normal s1 and s2, with no s3 or s4. there were no murmurs, clicks or rubs. - abdomen : normal bowel sounds, soft and nontender, with no hepatosplenomegaly or masses appreciated. - extremities : no edema. 2 + pt bilateral - bp : 120 / 70 ekg : normal sinus rhythm with incomplete right bundle branch block. there are very small q - waves in leads v2 v3 v4 and v5 the tracing is unchanged selected recent labs : in april following his last visit his total cholesterol was 104, triglycerides 70, hdl 40 and ldl 50. glycohemoglobin was 8. 5. assessment and plan : he is doing quite well at this point and has no symptoms he will remain on his present medications and i will see him again in another year. quinten b. prado, md pager # 82910 cc : ezra tovar m. d. signed electronically by quinten b. prado, md document status : final
******************
record date : 2085 - 11 - 05 cardiology wetzel county hospital reason for visit : mr qazi returns for followup of his coronary disease. interval history : he has no symptoms of chest pain or pressure, no palpitations dyspnea or orthopnea. he specifically denies predictable exertional chest pressure. thinks he may have tried one tng inthe course of the last year he hasbeen active physically and does a considerable amount of scuba diving in addition to his duties at mason house past medical history : 1. cad : - cath 1 / 73 : 80 % prox rca stenosis w / thrombus, mod d1 stenosis, clear lcx. lv gram ef 69 %, normal motion. - cath 9 / 81 : critical proximal ramus lesion. rca with proximal 40 % lesion, patent rca stent. patent left main, apical lad with 99 % lesion with l - l collaterals. cfx 35 % mid lesion. normal lvedp, no as. lvf 50 - 55 %. - also with h / o rca stent, unclear where procedure was done and patient unable to recall details. he was transferred in january 2083 to the wch after presenting to the florida hospital orlando with a non st segment elevation mi in the anterolateral zone. he underwent angioplasty and stenting of his proximal lad using a 2. 5 x 13 mm cypher drug eluting stent. 2. htn 3. hyperlipidemia family history : mother : deceased in 60's with leukemia father : extensive cad, with first mi in 50's. had mi x7, died in 70s. social history : he runs mason house, a halfway home. he has h / o drug / etoh abuse but clean and sober x 25 years. he is not married, no children. tobacco : + for 40 years 2 - 4ppd. review of systems : there are no new findings except as above. all the following a normal or negative : general : unexpected weight gain or weight loss, night sweats fever or chills. head and neck : headaches, dizzy spells hoarseness. respiratory : cough wheezing, sputum production, hemoptysis. cardiovascular : see history above. gastrointestinal : frequent heartburn or indigestion, difficulty swallowing, nausea vomiting jaundice, unusual constipation or dia
******************
record date : 2086 - 11 - 04 cardiology wetzel county hospital reason for visit : mr qazi returns for followup of his coronary disease. interval history : he has no symptoms of chest pain or pressure, no palpitations dyspnea or orthopnea. he specifically denies predictable exertional chest pressure. thinks he may have tried one tng inthe course of the last year he hasbeen active physically and does a considerable amount of scuba diving in addition to his duties at mason house. he seems to be putting on some weight. he's d / ced his hctz because of light headedene past medical history : 1. cad : - cath 1 / 73 : 80 % prox rca stenosis w / thrombus, mod d1 stenosis, clear lcx. lv gram ef 69 %, normal motion. - cath 9 / 81 : critical proximal ramus lesion. rca with proximal 40 % lesion, patent rca stent. patent left main, apical lad with 99 % lesion with l - l collaterals. cfx 35 % mid lesion. normal lvedp, no as. lvf 50 - 55 %. - also with h / o rca stent, unclear where procedure was done and patient unable to recall details. he was transferred in january 2083 to the wch after presenting to the florida hospital orlando with a non st segment elevation mi in the anterolateral zone. he underwent angioplasty and stenting of his proximal lad using a 2. 5 x 13 mm cypher drug eluting stent. 2. htn 3. hyperlipidemia family history : mother : deceased in 60's with leukemia father : extensive cad, with first mi in 50's. had mi x7, died in 70s. social history : he runs mason house, a halfway home. he has h / o drug / etoh abuse but clean and sober x 25 years. he is not married, no children. tobacco : + for 40 years 2 - 4ppd. review of systems : there are no new findings except as above. all the following a normal or negative : general : unexpected weight gain or weight loss, night sweats fever or chills. head and neck : headaches, dizzy spells hoarseness. respiratory : cough wheezing, sputum production, hemoptysis. cardiovascular : see history above. gastrointestinal :</t>
  </si>
  <si>
    <t>HBA1C</t>
  </si>
  <si>
    <t>The patient's hemoglobin A1c (HbA1c) is mentioned to be rechecked soon, but no specific value is provided in the clinical notes. Therefore, it is impossible to determine if the HbA1c falls between 6.5% and 9.5%. Without this information, we cannot conclude that the patient meets the inclusion criterion.</t>
  </si>
  <si>
    <t>['aspirin 81 mg po qd', 'atenolol 25mg po 2 tabs qd', 'econazole nitrate (spectazole) cream 1% topical qd prn', 'imdur 30 mg po qd', 'insulin syringes', 'klor con 10meq po qd', 'lasix 40mg po qd', 'neurontin 100mg po tid', 'nexium 40mg po qd', 'niaspan 500mg sr po qhs', 'nph insulin 40units sc qam 10 units qpm', 'ntg 0.3 mg sl q 5 min x3 prn chest pain', 'pravachol 20mg po qd', 'regular insulin sc 12u qam and 12u qpm', 'tobradex ophthalmic solution 1 gtt ou tid', 'topical hydrocortisone cream 2.5% qid prn', 'zetia 10mg po qd']</t>
  </si>
  <si>
    <t>The model rationale correctly identifies that no specific HbA1c value is provided in the evidence, making it impossible to determine if the patient meets the criterion of having an HbA1c between 6.5% and 9.5%. The evidence (chroma_id: 227_3_0) mentions that HbA1c will be rechecked soon but does not provide a current value. This indicates a failure to extract necessary information, leading to an extraction error.</t>
  </si>
  <si>
    <t>["227_3_0"]</t>
  </si>
  <si>
    <t>qd ntg 0. 3 mg sl q 5 min x3 prn chest pain atenolol 50mg po qd aspirin 81 mg po qd potassium chloride 10 meq po qd hydrocortisone and bismuth subgallate ( anusol hc ) suppositories apply 1 prn bid pravachol 20mg po qd ultram 50 mg po q 6 h prn lasix 20 mg po qd nexium 40 mg po qd imdur 30 mg po qd insulin syringes bd u - 100 1cc # 100 w / 11 refills one touch strips 5x a day # 200 w / 1 year refills past medical history as above left rotator cuff tear s / p turp 1yr ago review of systems as above, otherwise neg physical examination pulse 65 blood pressure 120 / 70 respiratory rate 18 general appearance well developed, well nourished, no acute distress. chest cta b w / o c / w / r. cor rrr nl s1, s2 without m / r / g. extrem no clubbing, cyanosis. 1 + edema b. 1 + pulses lower ex b. neuro a &amp; o x3, cn 2 - 12 grossly intact. assessment and plan as above disposition f / u in few months signed electronically by barbara chavez md on jan 22, 2162
******************
record date : 2163 - 02 - 25 february 25, 2163 barbara chavez, m. d. nmc internal medicine ima 1 nxo 2 - 359 re : william le mrn : 054 - 00 - 99 dob : 09 / 03 / 2089 dos : 02 / 25 / 2163 dear dr chavez, mr. william le return for follow - up in the neurology clinic today. he still has significant difficulty walking, and he is falling frequently at home. he has not sustained any significant injuries. he has numbness and paresthesias of his feet, but there has been no interval change in his symptoms since his last visit in november 2162. medications : neurontin 300mg tid, lasix 40mg daily, aspirin, atenolol 50mg daily, zetia 10mg, pravastatin 20mg, nexium and multi vitamins. examination : reveals that strength testing in the legs is normal. he has absent deep tendon reflexes of the ankles, trace to 1 + at the knees. romberg's test is positive, and the patient has difficulty standing without assistance. despite the degree of sensory ataxia, he is still able to feel position sense at the metatarsophalangeal joints in his feet. vibration and pinprick sensation are diminished. data review : the patient does have a persistent low concentration of monoclonal protein in the slow gamma region. this is unchanged compared to the previous study done in february 2162. this most likely is a mgus. impression and recommendation : the patient has poorly controlled diabetes, complicated by polyneuropathy. the monoclonal protein is an incidental finding and is probably not accounting for his peripheral neuropathy. given that the monoclonal protein has not changed in concentration or character i do not believe that there is a need for additional testing at this stage. he will continue with neurontin to manage his neuropathic symptoms. i have urged him to try and maintain good diabetic control. follow - up in 6 months sincerely, charles tisdale
******************
record date : 2164 - 03 - 10 internal medicine associates northland medical clinic reason for visit followup. major problems hypertension blood pressure stable on his medications. diabetes mellitus on higher insulin regimen. he is followed by diabetes clinic. we recheck hemoglobin a1c soon. osteoarthritis left worse than right. shoulder pain chronic. saw dr. echeverria. prefers to wait on surgery. bladder carcinoma followed by dr. morton. had a repeat cystoscopy in december that was within normal limits. hypercholesterolemia continues on zetia and pravachol. repeat fasting cholesterol soon. start niaspan as well. reviewed side effects. recheck chol in 6 wks. coronary artery disease stable. followed by cardiology. neuropathy continues with bilateral burning at night. continues on neurontin which helps. allergies aspirin allergy gi bleeding. drug allergy vioxx. zestril, gives a cough. penicillin allergy penicillin. active medications aspirin 81 mg po qd atenolol 25mg po 2 tabs qd econazole nitrate ( spectazole ) cream 1 % topical qd prn imdur 30 mg po qd insulin syringes klor con 10meq po qd take with food ; do not chew tabs lasix 40mg po qd neurontin 100mg po tid take one pill in am, one at noon and three qhs nexium 40mg po qd niaspan 500mg sr po qhs do not cut / crush / chew ; take with food nph insulin 40units sc qam 10 units qpm ntg 0. 3 mg sl q 5 min x3 prn chest pain onetouch strips pravachol 20mg po qd regular insulin sc 12u qam and 12u qpm tobradex ophthalmic solution 1 gtt ou tid topical hydrocortisone cream 2. 5 % qid prn apply as needed for rash and itchy skin zetia 10mg po qd change in therapies and renewals niaspan 500mg sr po qhs do not cut / crush / chew ; take with food qty : 30 refills : 5 start : 03 / 10 / 2164 past medical history as above. review of systems as above, otherwise negative. physical examination blood
******************
pressure 120 / 70 pulse 60 respiratory rate 18 weight 222 pounds office blood glucose fingerstick 206 general appearance well - developed, well - nourished male in no apparent distress heent pupils are equal and reactive. extraocular movements are intact. no pharyngeal exudates neck jvp is flat. no goiter nodes none palpable chest clear to auscultation bilaterally cor regular rate and rhythm without any murmurs, rubs, or gallops abdomen soft, nontender, and nondistended extrem no clubbing, cyanosis, or edema musc skel no bony deformities, but decreased range of motion of his bilateral shoulders and tenderness with extension of his left shoulder. the patient also had some tenderness to palpation in the left lateral hip region. there was good range of motion of his bilateral hips neuro he is alert and oriented x 3. cranial nerves ii through xii are grossly intact assessment and plan as above. disposition follow up in a few months. signed electronically by chavez, barbara on mar 19, 2164
******************
in his 80s, had dm and pvd social history : married. retired sales specialist. paints and enjoys model trains. quit smoking 2152. no etoh. review of systems : as above. also some memory lapses. he has some productive cough, but no change from prior. otherwise negative in detail. physical examination : - pulse : 62 - general : no acute distress. - skin : no rashes, anicteric. - neck : carotids 2 + without bruits. jvp 7 no jugular venous distention. - chest : clear to auscultation and percussion. - cardiac : left ventricular impulse discrete and nondisplaced. regular rate and rhythm, normal s1 and s2, with no s3 or s4. there were no murmurs, clicks or rubs. - abdomen : normal bowel sounds, soft and nontender, with no hepatosplenomegaly or masses appreciated. - extremities : no cyanosis, clubbing or edema. 2 + femoral pulses without bruits. 2 + pedal pulses. - bp : 152 / 66 - resp. rate : 12 - weight : 216 lbs. - heent : unremarkable ekg : nsr with trifasicular block. cr c / w copd. compared to 9 / 63, hr has increased. selected recent labs : metabolic date k cre 07 / 29 / 64 3. 8 1. 1 lipid / thyroid date chol trig hdl ldl 07 / 20 / 64 125 118 42 59 assessment and plan : a 74 yo man with multiple chest pain syndromes and cv risk factors associated with cad and mild lv dysfunction. his chest pain syndromes have resolved. he has a long - standing trifasicular block and had what sounds like syncope a few months ago. this was associated with bradycardia and has resolved with changing him to low dose coreg. cv risk factor modification remains our primary focus. plan. 1. cad - increase asa to 325 and take at night with niaspan in hopes of lessening side effects. he needs an arb, so will try again to get him to take diovan at 80 a day ( i gave samples and a rx ). 2. lv dysfunction - - we will check a gbps for ef. 3. dm - followed by dr. orton. continue to aim for an a1c of 7. 0
******************
4. carotid disease - - this seems to be limited to the external carotid, so i don't think any intervention will be necessary. continue to rx risk factors. 5. lipids - look great today. continue as is, but given his past intolerance of and noncompliance with meds, i suspect he will give up the niaspan soon! we will try to give asa with it to help with the side effects. 6. htn - - home bps have been higher too on coreg. i am trying to get him on an arb again. diovan at 80 a day. he will get f / u labs in one month f / u 6months changes to medications this visit regular insulin sc 14u qam and 14u qpm qty : 1 refills : 6 start : 11 / 25 / 2160 nph insulin 48units sc qam 16 units qpm qty : 3month supply refills : 5 start : 10 / 20 / 2153 diovan 80mg po qd qty : 90 refills : 3 start : 08 / 24 / 2164 coreg 3. 125mg po bid qty : 30 refills : 5 start : 06 / 16 / 2164 zetia 10mg po qd qty : 90 refills : 3 start : 10 / 25 / 2162 nexium 40mg po qd qty : 30 refills : 3 start : 08 / 18 / 2164 klor con 10meq po qd take with food ; do not chew tabs qty : 90 refills : 3 start : 04 / 11 / 2161 lasix 40mg po qd qty : 30 refills : 1yr start : 07 / 28 / 2161 aspirin 325 mg po qd qty : 90 refills : 3 pravachol 20mg po qd qty : 30 refills : 5 start : 05 / 25 / 2161 neurontin 300 mg po tid qty : 90 refills : 11 start : 05 / 25 / 2161 onetouch strips use 5xday # 200 with 1 year insulin syringes bd u - 100 1cc # 100 w / 11 refills dx tests ordered : gbps bmp in one month cc : dr. barbara chavez signed electronically by riley l overby md on aug 24, 2164</t>
  </si>
  <si>
    <t>there are two mentions of a1c - the second mention continue to aim for an a1c of 7. 0 - suggests that a1c needs to be reduced but further info is missing</t>
  </si>
  <si>
    <t>The patient is currently taking aspirin buffered 325mg, which is indicated for preventing myocardial infarction (MI). Therefore, the patient meets the inclusion criterion for the use of aspirin for this purpose.</t>
  </si>
  <si>
    <t>['aspirin buffered 325mg', 'toprol xl (metoprolol succinate extended release) 100 mg', 'ferrous sulfate 325 mg', 'aranesp (darbepoetin alfa) 60mcg', 'lipitor (atorvastatin) 80 mg', 'zetia (ezetimibe) 10 mg', 'norvasc (amlodipine) 15 mg', 'ca acetate (calcium acetate) 1334 mg', 'lisinopril 10mg', 'insulin 70/30 (human)']</t>
  </si>
  <si>
    <t>The model rationale incorrectly assumes that the mere use of aspirin automatically qualifies the patient for the criterion of using aspirin for preventing myocardial infarction (MI). The criterion requires that aspirin is specifically used for MI prevention, not just any use of aspirin. The evidence (chroma_id: '239_0_1') only confirms the patient is taking aspirin but does not specify the indication for MI prevention.</t>
  </si>
  <si>
    <t>["239_0_1"]</t>
  </si>
  <si>
    <t>is exceptionally limited financially. he worked ( his wife works ) in visual art. medications aspirin buffered 325mg tablet take 1 tablet ( s ) po qd toprol xl ( metoprolol succinate extended release ) 100 mg ( 100mg tab. sr 24h take 1 ) po qd ferrous sulfate 325 mg ( 325 ( 65 ) mg tablet take 1 ) po tid aranesp ( darbepoetin alfa ) 60mcg /. 3ml disp syrin ml sc qweek lipitor ( atorvastatin ) 80 mg ( 80mg tablet take 1 ) po qd zetia ( ezetimibe ) 10 mg ( 10mg tablet take 1 ) po qd norvasc ( amlodipine ) 15 mg po qd ca acetate ( calcium acetate ( 1 tablet = 667 mg ) ) 1334 mg ( 667mg tablet take 2 ) po tid x 30 days, take with meals ; if snack inbetween meals take one extra pill lisinopril 10mg tablet po qd, evening qpm insulin 70 / 30 ( human ) variable ( 70 - 30 u / ml vial ) sc physical exam general : mildly obese adult male, dishevelled integument : warm and dry heent : moist mucous membranes, edentulous neck : supple, no thryomegaly, carotids chest : lungs clear to auscultation and percussion cardiac : apical impulse, normal s1, s2 iii hsm murmer, s3 gallop abdomen : soft, nondistended, normal bowel sounds ext : external labs lab results for : ogrady, ulysses test imc 11 / 08 / 2066 13 : 37 wbc 12. 5 ( h ) rbc 4. 36 ( l ) hgb 12. 7 ( l ) hct 38. 2 ( l ) mcv 88 mch 29. 1 mchc 33. 2 plt 329 rdw 15. 6 ( h ) pt 13. 8 ( h ) pt - inr 1. 2 ( t ) ptt na 137 k 4. 8 cl 98 ( l ) co2 26. 6 bun 42 ( h ) cre 5. 6 ( h ) glu 130 ( h ) nov 08 left forearm radiocephalic av fistula with marked stenosis within the venous outflow just beyond the av anastomosis successfully treated with angioplast
******************
mg ( 10mg tablet take 1 ) po qd toprol xl ( metoprolol succinate extended release ) 100 mg ( 100mg tab. sr 24h take 1 ) po qd lisinopril 40 mg ( 40mg tablet take 1 ) po qd, evening qpm insulin 70 / 30 ( human ) variable ( 70 - 30 u / ml vial ) sc, 45 am, pm physical exam : in no acute distress. blood pressure is 100 / 58. weight is 236. pulse is 70 and regular. heent : pupils equal round reactive to light. extraocular motions intact. oropharynx moist without erythema or exudate. neck : supple without jvd, lymphadenopathy, or thyromegaly. chest : clear to auscultation bilaterally without wheezes or rhonchi or rhales. cardiac : regular rate and rhythm, normal s1 and s2 without murmurs rubs or gallops. extremities : right lower extremity with a 1. 6 cm x 1. 6 cm black eschar to be great toe. lesion is soft. it is unclear if there is significant tracking beneath the surface. a 3 cm x 2 cm flat based ulcer with surrounding callus formation is noted to be ball of the right foot with some granulation and no drainage. a collar is noted. no surrounding erythema is appreciated. dorsalis pedis and posterior tibial pulses are palpable but clearly diminished. assessment and plan : this is a 60 year old gentleman with multiple medical issues including end - stage renal disease my for regurgitation, congestive heart failure, severe peripheral neuropathy, diabetes. present in with two large altars to the right lower extremity. he is status post hospitalization and some debridement and appears to have had little overall improvement in clinical status. i will proceed with an aggressive outpatient treatment plan however i suspect that he will need inpatient admission once again if significant improvement is not rapidly obtained. a referral has been made to the island medical center wound clinic for this tuesday. visiting nurse has been arranged for his home for wound care in the interim. he is advised to avoid all weight - bearing and to keep his foot dressed at all times. i have explained to the patient that he is at risk of amputation of at least his right great toe should his healing not improve. with regards to his other medical issues, he continues on
******************
hemorrhage, mass lesion, or evidence of acute territorial infarction. 2. extensive nonspecific periventricular, deep, and subcortical white matter changes are likely sequela from chronic microangiopathic disease. 3. old lacunar infarctions in the left caudate head and right caudate - anterior corona radiata. evaluation for acute ischemia is limited in the areas of extensive white matter disease. brain mri with diffusion - weighted imaging is more sensitive in assessing for acute ischemia and should be obtained as clinically indicated. ua - sed - rbc 20 - 50 ( 0 - 2 ) / hpfua - sed - wbc 5 - 10 ( 0 - 2 ) / hpfua - sed - bacteria many ( neg ) / hpf wbc 20. 7 h ( 4. 5 - 11. 0 ) th / cmmhct 33. 6 l ( 41. 0 - 53. 0 ) % hgb 11. 3 l ( 13. 5 - 17. 5 ) gm / dlrbc 3. 77 l ( 4. 50 - 5. 90 ) mil / cmmplt 239 ( 150 - 400 ) th / cumm plasma sodium 133 l ( 135 - 145 ) mmol / lplasma potassium 7. 4 h ( 3. 4 - 4. 8 ) mmol / l plasma chloride 94 l ( 100 - 108 ) mmol / lplasma carbon dioxide 18. 1 l ( 23. 0 - 31. 9 ) mmol / lplasma anion gap 21 h ( 3 - 15 ) mmol / lcalcium 9. 6 ( 8. 5 - 10. 5 ) mg / dlphosphorus 7. 3 h ( 2. 6 - 4. 5 ) mg / dlmagnesium 2. 2 h ( 1. 4 - 2. 0 ) meq / lplasma urea nitrogen 68 h ( 8 - 25 ) mg / dlplasma creatinine 9. 18 h ( 0. 60 - 1. 50 ) mg / dlalbumin 4. 6 ( 3. 3 - 5. 0 ) g / dldirect bilirubin 0. 5 h ( 0 - 0. 4 ) mg / dltotal bilirubin 1. 1 h ( 0. 0 - 1. 0 ) mg / dla + p 1. esrd, with hyperkalemia 2. am
******************
record date : 2069 - 10 - 07 imc odem im attending medicine consult notept : ulysses ogradyimc # 0937884date : 10 / 07 / 69 time : 12 : 15pmpcp : paul jaramillo, md pager # 52666 hpi : asked to see patient by surgical team in consultation for is multiple medical issues. i have served as his pcp for eight years. pt seen and examined. case discussed in detail. this is a 62 y / o male with multiple medical issues last admitted in september for increased falls, found to have a small stroke in addition to his likely vascular dementia. readmitted last week in the setting of purulent l foot ulcer / s / p debridement and later tma. he has a long history well documented in the electronic medical record which is notable for poor compliance with medication and follow - up. at baseline, patient has declined further cardiology workup for his severe mitral regurgitation and cardiomyopathy, has declined treatment for his hyperlipidemia and takes his blood pressure medications with less than 25 % compliance. at the time of his last admission, he was actually admitted to a nursing home with plans for long term placement. the patient's wound has currently not been closed. he has a vac dressing in place. he has been attending dialysis per schedule of nephrology. current hospital course has been complicated by increased agitation and last evening, self limited substernal chest pain and dyspnea. this resolved spontaneously. he has also been intermittently refusing his medications and has been attempting to ambulate. this am. the patient actually denies ever experiencing chest pain. he also only recalls his foot pain with repeated prompting. he denies any pain, dyspnea ros otherwise negative., past medical history : neuropathy nephropathy : cr. 2. 6. 3. 3 gm proteinuria. currently on hemodialysishyperlipidemia hypertension obesity diabetes mellitus : type 2noncompliance : poor compliancebasal cell carcinoma : carcinoma of skin left cheeklower extremity ulcer : diabetic foot ulcer. l footabscess : rt shin 2062 back : 11 / 64. s / p i &amp; amp ; dmitral valve insufficiency : severe, with cardiomyopathy and ef 36 % colonic polyps : tubulovillious aden
******************
##oma 11 / 65. cad : cath in 2066 showed occluded mid lad with collaterals. stress test showed mid - distal anterior wall and apical ischemia. - cardiomyopathy with ef = 36 %, severe mitral regurg not on any sbe ppx medications : as prescribed : olanzapine 5mg bid sq hepatin toprol xl, 50mg lisinopril 40mg po qd vancomycin : dosed at dialysis riss oxycodone prn simvastatin levofloxacin fluoxetine nephocaps calcium acetate. allergies : nkda social history / fh per surgical notes. pt is a nonsmoker. no etoh or drug use hx. formerly lived with daughter. emigrated to tajikistan many years prior but still primarily speaks chad. examination : modestly confused but not agitated. does recognize pcp. does not know date or time. does not clearly know why he is hospitalized. vitals : 99. 0 hr 80 - 101 r bp 150 / 76. gen &amp; # 8217 ; l nad, ao x 2 ( &amp; # 8220 ; superior memorial hospital ) heent mmm, no scleral icterus, no pale conjunctiva. no roth spots. neck supple, no thyromegaly, no lad, no carotid bruits. + 10cm jvop heart : rrr, no m / r / glung : bibasilar crackles. no wheezeabd : soft, non - tender, obese, nabs. no hsm. no masses, no rebound. ext : rle in vac dressing. wound open without surrounding erythema. neuro : ao x 3 ; alert ; cn ii - xii grossly intact ; motor : 5 / 5 b ue / le ; sensation dinished to light tough, proprioception. full neurologic eval per neurology assessment data : date / time na k cl co2 10 / 07 / 2069 136 4. 4 100 24. 5 10 / 07 / 2069 138 4. 7 100 26. 4 10 / 06 / 2069 136 4. 7 99 ( l ) 26. 6 10 / 06 / 2069 136 4. 2 98 ( l ) date / time bun cre egfr glu 10 / 07 / 2069 35 ( h ) 6. 64 ( h ) 9
******************
other notes. presenting with necrotic foot infection, polymicrobial. s / p rt tma. mildly delerious and certainly off from a baseline that was tenuous to start. by issue : 1 ) cad : the patient does have cad, mr and cardiomyopathy that are really not amenable to intervention, given patient noncompliance. the best goal at present is going to be continued medical management. if bp allows, could increase toprol xl, although i suspect that this will not be an option. in addition, would aim to keep even at dialysis. certainly, cycle cks and troponin and follow sx. i will defer to dr. shah, but i don't see clear benefit for cardiac cath, especially as we are not going to proceed to valve repair at this juncture. if he were to become more compliant, this might be another consideration and as he is now a ct resident, perhaps this will be a future consideration. 2 ) delirium : he does have a very tenuous baseline and has significant vascular dementia to start. he is off of this baseline, likely reflecting sundowning, medications and underlying metabolic processes. please d / c medications that might be contributing to sx. fluoxetine can be held for now as it was only started 3 weeks prior. might hold ranitidine as well. haldol is d / cd in the setting of his prolonged qtc. currently on olanzapine. would continue to follow qtc closely and would d / c this med as well is still prolonged. please send urine culture and surveillance blood cultures. 3 ) infection : appreciate excellent surgical management of patient's wound. levofloxacin has been d / cd 2nd to concerns for altered mental status. all bacteria are sensitive to aztreonam so perhaps this would be a reasonable alternative. would seek id input to the end. wound care per vascular with plans for d / c when stable and return for closure in the future. 4 ) esrd : patient had dialysis today. recs per nephrology 3 ) dm : hga1c was at target. please cover as needed with riss for now. 5 ) competency : certainly not able to make informed decisions at this time. please confirm that his daughter is his hcp. would try to use a chadian interpreter and not daughters if at all possible. thanks, _ _ _ _ _ _ _ _ _ _ _ _ _</t>
  </si>
  <si>
    <t>aspirin is used for MI prevention, but dose and type (buffered) can indicate primary reason to be sth other than MI</t>
  </si>
  <si>
    <t>ENGLISH</t>
  </si>
  <si>
    <t>The clinical note mentions that the patient emigrated from Tajikistan and primarily speaks Chad, which suggests that the patient may not be fluent in English. However, the inclusion criterion states that unless otherwise explicitly noted, it can be assumed that the patient speaks English. Since the note does not explicitly state that the patient does not speak English, we can infer that the patient meets the criterion.</t>
  </si>
  <si>
    <t>['olanzapine 5mg bid', 'heparin', 'toprol xl 50mg', 'lisinopril 40mg po qd', 'vancomycin', 'oxycodone prn', 'simvastatin', 'levofloxacin', 'fluoxetine', 'nephocaps', 'calcium acetate']</t>
  </si>
  <si>
    <t>The model's rationale assumes the patient speaks English because the note does not explicitly state otherwise, despite mentioning that the patient primarily speaks Chad after emigrating from Tajikistan (chroma_id: '239_3_1'). This reliance on assumption fits the 'assumption' category as the criterion allows for assuming English proficiency unless explicitly noted otherwise.</t>
  </si>
  <si>
    <t>["239_3_1"]</t>
  </si>
  <si>
    <t>mg ( 10mg tablet take 1 ) po qd toprol xl ( metoprolol succinate extended release ) 100 mg ( 100mg tab. sr 24h take 1 ) po qd lisinopril 40 mg ( 40mg tablet take 1 ) po qd, evening qpm insulin 70 / 30 ( human ) variable ( 70 - 30 u / ml vial ) sc, 45 am, pm physical exam : in no acute distress. blood pressure is 100 / 58. weight is 236. pulse is 70 and regular. heent : pupils equal round reactive to light. extraocular motions intact. oropharynx moist without erythema or exudate. neck : supple without jvd, lymphadenopathy, or thyromegaly. chest : clear to auscultation bilaterally without wheezes or rhonchi or rhales. cardiac : regular rate and rhythm, normal s1 and s2 without murmurs rubs or gallops. extremities : right lower extremity with a 1. 6 cm x 1. 6 cm black eschar to be great toe. lesion is soft. it is unclear if there is significant tracking beneath the surface. a 3 cm x 2 cm flat based ulcer with surrounding callus formation is noted to be ball of the right foot with some granulation and no drainage. a collar is noted. no surrounding erythema is appreciated. dorsalis pedis and posterior tibial pulses are palpable but clearly diminished. assessment and plan : this is a 60 year old gentleman with multiple medical issues including end - stage renal disease my for regurgitation, congestive heart failure, severe peripheral neuropathy, diabetes. present in with two large altars to the right lower extremity. he is status post hospitalization and some debridement and appears to have had little overall improvement in clinical status. i will proceed with an aggressive outpatient treatment plan however i suspect that he will need inpatient admission once again if significant improvement is not rapidly obtained. a referral has been made to the island medical center wound clinic for this tuesday. visiting nurse has been arranged for his home for wound care in the interim. he is advised to avoid all weight - bearing and to keep his foot dressed at all times. i have explained to the patient that he is at risk of amputation of at least his right great toe should his healing not improve. with regards to his other medical issues, he continues on
******************
dialysis. i have asked for a hemoglobin a1c and fasting cholesterol to be drawn at the time of his dialysis tomorrow. i'll see the patient on tuesday. his blood pressure is appropriately controlled and he is no stigmata of congestive heart failure at today's visit, the patient's wound was dressed and cleaned the our nursing staff
******************
record date : 2069 - 04 - 16 patient name : ogrady, ulysses [ 0937884 ( imc ) ] date of visit : 04 / 16 / 2069 renal staff patient seen and examined on dialysis. agree with details per fellow note. 62 year old man referred to ed after missing dialysis yesterday and noted to be mentally confused. on presentation he was hyperkalemic to 7. 4. he has been evaluated in ed setting with negative head ct and lp. family reports h / o poor compliance and self care deficit. pmh / psh : esrd, presumed from htn / dm, tts, lue avf ; initiated dialysis in 2067 ; has left arm avf ; hd at eureka springs hospital - dr allan jester is attending nephrologisthyperlipidemia hypertension obesity diabetes mellitus : type 2, with tripothynoncompliance basal cell carcinoma : carcinoma of skin left cheeklower extremity ulcer : diabetic foot ulcer. l footabscess : rt shin 2062back : 11 / 64. s / p i &amp; amp ; dmitral valve insufficiency : severe, with cardiomyopathy and ef 36 % colonic polyps : tubulovillious adenoma 11 / 65. needs repeat scope 11 / 66 medications insulin variable dosing reportedly not taking other meds social lives in de soto with wife and daughter ros as detailed. he also has been c / o dizziness and weakness after dialysis, which was the main reason he refused to go for hd yesterday. no additional hx is available, no known sick contact per wife. when he was in ed, he was noted to have lgf 100. 4, hypertensive and tachycardic. he is waiting for head ct and possible lp. exam t 100. 4, p 110, bp 150 / 80, r 26, so2 94 % ( 4l ) nad, limited cooperation with exam, a + o x2 cv : tachy / reg, no rubs chest : cta ant abd : soft, nt / nd / nabs ext : 1 + edema neuro : nonfocal - limited exam dataekg is not available for review, but no acute ischemic changes and no widened qrs / peaked t wave per ed. pcxr : poor penetration, but no acute process head ct impression : 1. no
******************
record date : 2069 - 10 - 07 imc odem im attending medicine consult notept : ulysses ogradyimc # 0937884date : 10 / 07 / 69 time : 12 : 15pmpcp : paul jaramillo, md pager # 52666 hpi : asked to see patient by surgical team in consultation for is multiple medical issues. i have served as his pcp for eight years. pt seen and examined. case discussed in detail. this is a 62 y / o male with multiple medical issues last admitted in september for increased falls, found to have a small stroke in addition to his likely vascular dementia. readmitted last week in the setting of purulent l foot ulcer / s / p debridement and later tma. he has a long history well documented in the electronic medical record which is notable for poor compliance with medication and follow - up. at baseline, patient has declined further cardiology workup for his severe mitral regurgitation and cardiomyopathy, has declined treatment for his hyperlipidemia and takes his blood pressure medications with less than 25 % compliance. at the time of his last admission, he was actually admitted to a nursing home with plans for long term placement. the patient's wound has currently not been closed. he has a vac dressing in place. he has been attending dialysis per schedule of nephrology. current hospital course has been complicated by increased agitation and last evening, self limited substernal chest pain and dyspnea. this resolved spontaneously. he has also been intermittently refusing his medications and has been attempting to ambulate. this am. the patient actually denies ever experiencing chest pain. he also only recalls his foot pain with repeated prompting. he denies any pain, dyspnea ros otherwise negative., past medical history : neuropathy nephropathy : cr. 2. 6. 3. 3 gm proteinuria. currently on hemodialysishyperlipidemia hypertension obesity diabetes mellitus : type 2noncompliance : poor compliancebasal cell carcinoma : carcinoma of skin left cheeklower extremity ulcer : diabetic foot ulcer. l footabscess : rt shin 2062 back : 11 / 64. s / p i &amp; amp ; dmitral valve insufficiency : severe, with cardiomyopathy and ef 36 % colonic polyps : tubulovillious aden
******************
##oma 11 / 65. cad : cath in 2066 showed occluded mid lad with collaterals. stress test showed mid - distal anterior wall and apical ischemia. - cardiomyopathy with ef = 36 %, severe mitral regurg not on any sbe ppx medications : as prescribed : olanzapine 5mg bid sq hepatin toprol xl, 50mg lisinopril 40mg po qd vancomycin : dosed at dialysis riss oxycodone prn simvastatin levofloxacin fluoxetine nephocaps calcium acetate. allergies : nkda social history / fh per surgical notes. pt is a nonsmoker. no etoh or drug use hx. formerly lived with daughter. emigrated to tajikistan many years prior but still primarily speaks chad. examination : modestly confused but not agitated. does recognize pcp. does not know date or time. does not clearly know why he is hospitalized. vitals : 99. 0 hr 80 - 101 r bp 150 / 76. gen &amp; # 8217 ; l nad, ao x 2 ( &amp; # 8220 ; superior memorial hospital ) heent mmm, no scleral icterus, no pale conjunctiva. no roth spots. neck supple, no thyromegaly, no lad, no carotid bruits. + 10cm jvop heart : rrr, no m / r / glung : bibasilar crackles. no wheezeabd : soft, non - tender, obese, nabs. no hsm. no masses, no rebound. ext : rle in vac dressing. wound open without surrounding erythema. neuro : ao x 3 ; alert ; cn ii - xii grossly intact ; motor : 5 / 5 b ue / le ; sensation dinished to light tough, proprioception. full neurologic eval per neurology assessment data : date / time na k cl co2 10 / 07 / 2069 136 4. 4 100 24. 5 10 / 07 / 2069 138 4. 7 100 26. 4 10 / 06 / 2069 136 4. 7 99 ( l ) 26. 6 10 / 06 / 2069 136 4. 2 98 ( l ) date / time bun cre egfr glu 10 / 07 / 2069 35 ( h ) 6. 64 ( h ) 9
******************
other notes. presenting with necrotic foot infection, polymicrobial. s / p rt tma. mildly delerious and certainly off from a baseline that was tenuous to start. by issue : 1 ) cad : the patient does have cad, mr and cardiomyopathy that are really not amenable to intervention, given patient noncompliance. the best goal at present is going to be continued medical management. if bp allows, could increase toprol xl, although i suspect that this will not be an option. in addition, would aim to keep even at dialysis. certainly, cycle cks and troponin and follow sx. i will defer to dr. shah, but i don't see clear benefit for cardiac cath, especially as we are not going to proceed to valve repair at this juncture. if he were to become more compliant, this might be another consideration and as he is now a ct resident, perhaps this will be a future consideration. 2 ) delirium : he does have a very tenuous baseline and has significant vascular dementia to start. he is off of this baseline, likely reflecting sundowning, medications and underlying metabolic processes. please d / c medications that might be contributing to sx. fluoxetine can be held for now as it was only started 3 weeks prior. might hold ranitidine as well. haldol is d / cd in the setting of his prolonged qtc. currently on olanzapine. would continue to follow qtc closely and would d / c this med as well is still prolonged. please send urine culture and surveillance blood cultures. 3 ) infection : appreciate excellent surgical management of patient's wound. levofloxacin has been d / cd 2nd to concerns for altered mental status. all bacteria are sensitive to aztreonam so perhaps this would be a reasonable alternative. would seek id input to the end. wound care per vascular with plans for d / c when stable and return for closure in the future. 4 ) esrd : patient had dialysis today. recs per nephrology 3 ) dm : hga1c was at target. please cover as needed with riss for now. 5 ) competency : certainly not able to make informed decisions at this time. please confirm that his daughter is his hcp. would try to use a chadian interpreter and not daughters if at all possible. thanks, _ _ _ _ _ _ _ _ _ _ _ _ _</t>
  </si>
  <si>
    <t>partially_complete; assumption</t>
  </si>
  <si>
    <t xml:space="preserve">primarily speaks Chad should be an explicit indication </t>
  </si>
  <si>
    <t>The patient's serum creatinine level is reported as 1.3, which is above the upper normal limit (typically around 1.2 for most labs). Therefore, the patient meets the inclusion criterion of having a serum creatinine level above the upper normal limit.</t>
  </si>
  <si>
    <t>['atenolol 25 mg qd', 'triamterene / hctz 50 / 25 qd three times a week', 'vitamin b complex 100 u qd', 'folic acid 1 mg qd', 'iron sulfate 1 tab bid', 'lipitor 10 mg qhs', 'terazosin 5 mg qd', 'lisinopril 2.5 mg qhs', 'ducolax 2 tabs qd', 'warfarin 5 mg qd', 'zantac 75 mg qd prn heartburn']</t>
  </si>
  <si>
    <t>The model rationale assumes that the upper normal limit for serum creatinine is 1.2, which is not explicitly stated in the evidence. General medical knowledge: The upper normal limit for serum creatinine can vary between labs, typically around 1.2 mg/dL for adults, but this is not universally applicable. The evidence (chroma_id: '251_1_1') only provides the patient's creatinine level as 1.3 without specifying the lab's reference range, making the model's assumption about the upper limit unverified.</t>
  </si>
  <si>
    <t>["251_1_1"]</t>
  </si>
  <si>
    <t>in 2080 aterial stent was placed in the mid lad in 4 / 80 hypercholesteremia arthritis borderline diabetic heart murmur for 50 years fh / sh : never married no children never smoked rare etoh - 6 beers per year aerospace engineer for 40 years no family history of cancer here with sister. review of systems : general : 20 lb weight loss weight stabilized, moderate fatigue, no fevers, no chills. respiratory : no cough, no sob, baseline doe, no hemoptysis, no wheezing heent : no neck swelling, no hoarseness, no hearing loss cardiac : no chest pain, no palpitations ( heart murmur for 50 yrs. ) arrythmias, no valve disease gastrointestinal : no nausea, no vomiting, no diarrhea, no constipation, no bleeding neurologic : no seizures, no headache, no weakness, no numbness / tingling lymph nodes : no enlarged lymph nodes musculoskeletal : no back pain, no neck pain, no leg pain, no arm pain urologic : no hematuria, no dysuria, or no obstruction endocrine : no adrenal, no thyroid or no parathyroid disease hematologic : no bruising, no clotting, no bleeding medications : atenolol 25 mg qd triamterene / hctz 50 / 25 qd three times a week vitamin b complex 100 u qd folic acid 1 mg qd iron sulfate 1 tab bid lipitor 10 mg qhs terazosin 5 mg qd lisinopril 2. 5 mg qhs ducolax 2 tabs qd allergies : codeine - dizzy physical examination : vital signs bp 116 / 58, p 60, rr 20, temp 96. 6 f, ht 67 in, wt 231 lb ps = 1 neck : no nodes palpable heent : no thrush or mucositis ; eomi ; perrl skin : no rash ext : without edema, clubbing cor : s1 s2 chest : clear lungs without wheezing or crackles abdomen : soft, nt no hsm nodes : neg cerv, sc neuro : grossly non - focal data ( laboratory and radiographs ) results 01 / 07 / 2084 bun 14, cre 1. 3 01 / 07 / 2084 wbc 4. 5, rbc
******************
4. 72, hgb 10. 7 ( l ), hct 34. 0 ( l ), mcv 72 ( l ), mch 22. 7 ( l ), mchc 31. 5, plt 131 ( l ) 01 / 07 / 2084 aneut 3. 52, alymp 0. 57 ( l ), amons 0. 31, aeosn 0. 05 ( l ), abasop 0. 01 assessment and plan : 72 year old man with stage ivb metastatic esophageal cancer s / p xrt with growing ln outside the field of radiation. doing great. renal vein thrombosis - continue same coumadin regimen anemia, and doe - continue procrit consider head mri if dizziness continues after hypotension and anemia are resolved cycle 3, week 3 of taxotere chemotherapy today. scans this week rtc in one week for results and plan _ _ _ _ _ _ _ _ _ _ _ _ _ _ _ _ _ _ _ _ _ _ _ _ _ _ _ _ _ _ _ _ _ _ _ _ _ _ _ _ _ _ _ _ _ jayda una xiang, np cc : dr. geno guidry dr. gregory mcguire
******************
blood pressure control. no evidence of end - stage renal damage. 4. hypercholesterolemia : being treated with lipitor 10 mg daily. last total cholesterol ( 06 / 18 / 83 ) was 139 ; hdl = 38, ldl = 72. 5. cad s / p lad stent placement 04 / 12 / 83 6. renal vein thrombosis, on coumadin. 7. s / p zenker diverticulum repair in 2080 8. chronic renal insufficiency : baseline creatinine of 1. 2 - 1. 5. medications : atenolol 25 mg qd triamterene / hctz 50 / 25 qd three times a week vitamin b complex 100 u qd folic acid 1 mg qd iron sulfate 1 tab bid lipitor 10 mg qhs terazosin 5 mg qd ducolax 2 tabs qd warfarin 5 mg qd zantac 75 mg qd prn heartburn. allergies : codeine. reaction - dizziness family history : mother and maternal grandmother died from heart disease. father died from renal failure. no family history of cancer. social history : smoking : denies history of smoking. alcohol use : drinks rarely, approximately six beers each year. substance abuse : not assessed. occupation : retired. former aerospace engineer of forty years. marital status : never married living situation : lives alone at home. independent adls. ros : general : reports anorexia, 20 - pound weight loss over the last year. head : as per hpi. reports dizziness, headache, h / o head injury, and lightheadedness. eyes : denies vision changes. ears : denies hearing loss, tinnitus, vertigo, or earaches / discharge. nose and sinuses : reports nosebleeds secondary to coumadin. denies frequent colds, stuffiness, itching, hayfever, or other sinus troubles. mouth and throat : denies dry mouth. neck : denies lumps, pain, swollen glands, or stiffness in the neck. respiratory : denies sob,, wheezing, and asthma. cardiovascular : denies palpitations, tachycardia. gi : mild heartburn. denies dysphagia, hematemasis, brbpr, diarrhea, constipation. urinary tract : denies pain / burning upon urination, discharge. peripheral vascular : denies claudication, varicose
******************
veins, cold limbs. endocrine : reports some cold intolerance. denies excessive sweating, thirst, and hunger. neurological : one episode of syncope one year ago because of hypotension secondary to too many blood pressure medications. denies generalized weakness, numbness / sensation loss, or memory loss. psychiatric : denies depression, suicidal ideation. exam : pt is a pleasant, well - appearing man who is in no acute distress. patient is cooperative to interview. vs : temperature = 97. 5 ; bp = 140 / 70 ; hr = 74 ; rr = 18. heent : nc / at, perrl, nonicteric. eomi. no temporal tenderness. mmm, w / o exudates or evidence of mucocitis or thrush. neck : supple, nt, full rom, 2 + carotids w / o bruits, no lad. jvp &lt; 5cm lungs : decreased bibasilar breath sounds, r &gt; l. fine crackles at the right base. without wheezes. cor : rrr ; normal s1s2, 3 / 6 systolic ejection murmur heard best at the right sternal base, radiating to the axilla, consistent with as. abd : bs active. abdomen mildly distended. tympanic to percussion over all quadrants. soft, nontender to palpation in all areas. liver spanned 10 cm at the midclavicular line. no hepatosplenomegaly, liver edge not felt. g / r : brown stool. non - tender prostate. extr : 1 + edema bilateral lower extremities. 2 + dp, radial pulses bilaterally. skin : large, sharply demarcated erythematous patch over right wrist. neuro : aox3, ms nl, cn ii through xii intact, some nystagmus on lateral and vertical gaze, motor and sensory nonfocal - 5 / 5 plantarflexion, dorsiflexion, grip strength, hip flexors and extensors ; dtr's 2 + and symmetric throughout in biceps and patellar tendons. babinski down. labs : chemistry : 03 / 17 / 84 08 : 51 na 139 k 3. 8 cl 112 ( h ) co2 24. 4 bun 14 cre 1. 3 glu 145 ( h ) ca 8. 8 phos 2. 5 ( l ) mg
******************
intake is not increased, will switch fluids to d5 ns. g. tylenol for fever, zofran for nausea. h. incentive spirometry every two hours while awake. 2. dizziness : the patient presents with a two - day history of dizziness. potential causes include orthostatic causes secondary to hypotension, dehydration, or poor sympthathetic tone ; anxiety ; cardiac causes ( dysrhythmias, cad ), anemia, and electrolyte abnormalities ( e. g. hypoglycemia ). this patient has a history of cad, but ekg findings and cardiac enzymes do not suggest cardiac insult. the patient has not had an increase in the bun or creatinine from baseline, making dehydration less likely. labs did not show any electrolyte abnormalities ; therefore hypoglycemia is low on the differential diagnosis. the dizziness was positional in nature. the patient reports long - standing poor po intake, particularly because he was npo for much of the day prior to the start of symptoms. in this patient, the cause of the dizziness is most likely orthostatic in nature, secondary to poor po intake and decreased sympathetic tone. a. ns at 75 cc / hour. if po intake is not increased, will switch fluids to d5 ns. b. check orthostatics daily. 3. metastatic esophageal adenocarcinoma : patient presents with known stage iv - b metastatic esophageal adenocarcinoma with new ct findings suggestive of disease progression, particularly in the retroperitoneum. has been on taxotere for the last six months. a. patient does not know of new findings, to discuss with dr. otero in am. b. consider alternative therapies. 4. anemia : patient presents with microcytic anemia ( mcv = 73 ). not known to be iron - deficient. a. iron studies ( iron, ferritin, tibc ) to assess iron deficiency versus anemia of chronic disease. b. guaiac stool for evidence of occult blood. 5. htn : a. check orthostatics daily. b. patient is stable on current regimen. no changes to medications. 6. cad / hypercholesterolemia : a. continue with lipitor 10 mg daily b. cardiac enzymes negative times one. per on
******************
##cology fellow, no need to cycle given stability of tw changes in ekg and lack of anginal symptoms c. low fat diet 7. renal vein thrombosis : a. stable on coumadin. b. clarify goal inr level. currently inr = 3. 4. 8. prophylaxis : a. nexium for gi prophylaxis b. colace / mylanta for constipation. c. low - fat, no added salt, no concentrated sugar diet. d. finger sticks after each meal. _ _ _ _ _ _ _ _ _ _ _ _ _ _ _ _ _ _ _ _ _ _ _ _ _ _ _ _ _ _ _ nathan altman, hcc iii pager # 74972 team 3 intern addendum : the patient was seen and examined. agree with above excellent hcc3 note. briefly, the patient is a 73 year - old male with h / o esophageal ca ( stage 4b ), dm, htn, cad s / p lad stent, renal v. thrombosis on coumadin. he presents today with 2 days of malaise, nausea, and dizziness, which he states does not consist of " room spinning " but that he does feel off - balance and is associated with nausea. his po intake has been decreased due to nausea. has has had a cough productive of green sputum, and cxr evidence of bibasilar consolidations and decreased breath sounds on exam r &gt; l. he was admitted to medicine for treatment of pna in the setting of multiple comorbidities, and for lightheadedness on standing which is likely orthostatic. will treat with levofloxacin 750 po qd to cover cap. send legionella urinary agn, and sputum cx ( blood cx sent in ed ). check orthostatics. ivf gentle hydration. need to clarify goal inr in setting of coumadin use for renal vein thrombosis. microcytic anemia - will check anemia labs ; already on iron supplementation. ekg and 1 set of cardiac enzymes do not suggest an acute cardiac event. will treat nausea symptomatically. discussed with onc fellow ( dr. kramer ). _ _ _ _ _ _ _ _ _ _ _ _ _ _ _ _ _ _ _ _ _ _ _ _ _ _ _ _</t>
  </si>
  <si>
    <t>wrongly assumes upper limit of 1.2 (prev row it considered upper limit 1.5)</t>
  </si>
  <si>
    <t>The patient is taking 'phoslo', which is a calcium-based phosphate binder commonly used in patients with chronic kidney disease and can be considered a dietary supplement. Additionally, 'nepro' is a specialized nutritional supplement designed for patients with kidney disease. Therefore, the patient meets the inclusion criterion for dietary supplement consumption in the past 2 months.</t>
  </si>
  <si>
    <t>['diltiazem 30mg qid', 'lopressor 25mg tid', 'insulin', 'linezolid 600mg bid', 'levaquin 500mg qod', 'phoslo 667mg ac meals', 'colace 100mg bid', 'heparin sq q8h', 'ranitidine 150mg qdaily', 'trazodone 25mg qdaily', 'coumadin', 'tylenol 650mg prn', 'nepro tube feeds']</t>
  </si>
  <si>
    <t>The model correctly identifies 'phoslo' as a calcium-based phosphate binder, which can be considered a dietary supplement, and 'nepro' as a specialized nutritional supplement for patients with kidney disease. Both are mentioned in the patient's medication list (rank 0), fulfilling the criterion of dietary supplement consumption in the past 2 months.</t>
  </si>
  <si>
    <t>["270_0_0"]</t>
  </si>
  <si>
    <t>exam : vitals : t 99. 7, pulse 58, bp 120 / 60, cvp 9 vent : ac 14 x 600 / 40 % / + 5 u / o : 0 - 30cc / hr gen : intubated and sedated heent : atraumatic neck : right ij central line. heart : rrr, s1s2 normal, no m / r / g lung : coarse vented breath sounds abd : soft, nt, nd ext : trace edema skin : no rashes neuro : unable to assess lab results : cbc : wbc 9. 1, hgb 7. 9, plts 188k bcp : na 136, k 5. 2, cl 106, hco3 18, bun 68, cr 7. 0, glucose 139 ca 7. 9, mg 2. 4 coags : inr 1. 2, ptt 28. 6 abg : 7. 33 / 37 / 171 u / a : 1. 010, ph 5. 5, 2 + prot, 1 + blood, 14 hyaline casts, 6 rbc, 7 wbc impression : 65 y / o man with stage iv ckd, dm, htn, cad, s / p bradycardia and pea arrest, now intubated with oligoanuric acute on chronic renal failure. etiology most likely 2 / 2 cardiac arrest with hypotension resulting in ischemic atn. given his hyperkalemia and acidemia in the context of anuria, we will start the pt on cvvh today. if his bp tolerates it, he may be able to transition over to intermittent hd soon. 1. will place right femoral vein hemodialysis catheter. 2. start citrate cvvh 120 / 2000 with dfl of 50cc / hr as bp tolerates 3. i will examine his urinary sediment. 4. please check urine na, urea nitrogen, total protein, creatinine. 5. please order renal us. 6. renally dose all medications for cvvh. _ _ _ _ _ _ _ _ _ _ _ _ _ _ _ _ _ _ _ _ _ _ _ _ _ _ _ _ _ _ _ _ _ _ travis x. vogel, md longview hospital renal fellow pager 5 - 6394
******************
record date : 2097 - 03 - 25 patient name : whitaker, vincent mrn : 29964344 admit date : 3 / 25 / 97 today's date : 3 / 25 / 97 esrd attending : dr. nancy gipson renal dialysis fellow note hpi : 65 yo m h / o htn, dm, ras, now esrd on hd, recent admission in lh ccu 1 / 26 - 2 / 28 / 97 after presenting with pea cardiac arrest, course c / b respiratory failure requiring trach and peg, initiated on hd during that admission, d / c'ed to homestead hospital 2 / 28 / 97, transferred from hh for fevers ( t to 102 on 3 / 22 ) and urine and blood cultures positive for gram negative rods for further management. was given on 3 / 24 / 97 linezolid and levaquin, gentamicin at hd. rij catheter pulled prior to transfer. + c / o diarrhea for several days. no recent cp, sob, nausea, vomiting. + productive cough, + back pain. previous to january admission, patient had ckd stage 4 with cr in 4s, developed oliguric renal failure and initiated on hd with no evidence of renal recovery. medical history : esrd on hd s / p pea arrest 1 / 26 / 97 respiratory failure s / p trach peg right - sided ras htn cad dm anemia hcv antibody + medications : diltiazem 30mg qid lopressor 25mg tid insulin linezolid 600mg bid ( started 3 / 22 / 97 ) levaquin 500mg qod ( started 3 / 24 / 97 ) phoslo 667mg ac meals colace 100mg bid heparin sq q8h ranitidine 150mg qdaily trazodone 25mg qdaily coumadin tylenol 650mg prn nepro tube feeds allergies : statins - rhabdo, reserpine - anemia, nifedipine - swelling social history : no alcohol, smoking, drugs. currently at homestead family history : non - contributory review of systems : pertinent positives in hpi. systems otherwise negative in detail. physical exam : vitals : t 98. 4 hr 118 bp164 / 82 general : comfortable, awake, able to answer questions appropriately heent : neck supple, + trach mask cv : irregular rhythm, s1,
******************
s2 chest : ctab abd : + peg, soft, non - tender back : no cva tenderness ext : trace edema access : lij tunneled hd catheter labs : date / time na k cl co2 03 / 25 / 2097 137 4. 2 98 27 03 / 24 / 2097 138 3. 8 ( # ) [ 1 ] 99 27 date / time bun cre egfr glu 03 / 25 / 2097 44 ( * ) 5. 31 ( * ) 11 [ 2 ] 114 03 / 24 / 2097 34 ( * # ) 4. 10 ( * # ) 15 [ 3 ] 131 ( * ) date / time ca phos mg tbili 03 / 25 / 2097 9. 6 2. 2 ( * ) 2. 4 03 / 24 / 2097 9. 4 see detail [ 4 ] 2. 1 ( # ) [ 5 ] 0. 4 date / time tp alb glob 03 / 24 / 2097 7. 8 3. 9 3. 9 date / time alt / sgpt ast / sgot alkp tbili 03 / 24 / 2097 12 20 66 0. 4 date / time wbc rbc hgb hct 03 / 25 / 2097 9. 08 3. 59 ( * ) 10. 7 ( * ) 32. 7 ( * ) 03 / 24 / 2097 9. 95 3. 69 ( * ) 10. 7 ( * ) 34. 1 ( * ) date / time mcv mch mchc plt 03 / 25 / 2097 91. 1 29. 9 32. 8 357 03 / 24 / 2097 92. 3 28. 9 ( # ) 31. 3 ( * ) 350 ( # ) date / time pt pt - inr ptt 03 / 25 / 2097 18. 0 ( * ) 1. 4 ( * ) 30. 1 03 / 24 / 2097 17. 4 ( * # ) 1. 4 ( * ) 29. 1 cxr 3 / 24 / 97 : no acute cardiopulmonary process assessment / recommendations : 65 year old m cad s / p pea arrest 1 / 97, now esrd on hd, dm, respiratory failure s / p trach / peg, admitted with gram negative bacteremia. 1. reason for admission : gram negative bacteremia, fevers - follow up blood cultures - call homestead for speciation and sensitivities of blood cultures - antibiotics for
******************
record date : 2097 - 08 - 11 edvisit ^ 29964344 ^ whitaker, vincent ^ 08 / 11 / 97 ^ tran, freddy i confirm that i have interviewed and examined the patient, reviewed the resident's documentation on the patient's chart, and discussed the evaluation, plan of care, and disposition with the patient and the resident, dr. nieto. please see her note for full details. history of present illness : the patient is a 65 - year - old gentleman with significant past medical history of hypertension ; diabetes ; afib ; chf ; chronic renal insufficiency ; end - stage renal disease on hemodialysis monday, wednesday and friday ; history of pe and cardiac arrest as well as bacteremia who presents with cough, weakness, chest pain, and palpitations. at dialysis he was found coughing and was sent here via ambulance. he notes decreased appetite. he denies any fevers. he has noted some chills, some sweats, and some shortness of breath. physical examination : he is slow. temperature 95. 9, pulse 89, respiratory rate 18, blood pressure 180 / 71, and saturation is 95 % on 2 liters. he looks dyspneic, dehydrated with neck that is supple. no rales, rhonchi, or wheezing. heart is regular without a murmur. abdomen is soft, nontender, and nondistended. skin is intact. he has 2 + pedal edema. he appears to be lethargic but no focal neurologically. laboratory data : review of his blood work shows a bun of 31, creatinine of 6. 07, sodium of 139, potassium of 5. 6 and bicarbonate of 32. lfts are normal. lipase is 63. bnp is 501. lactic acid is 3. troponin is 0. 04. white count 5, hematocrit 42, and inr 2. chest x - ray shows cardiomegaly, no acute pneumonia. an ekg with rate 106, normal st - t changes. emergency department course : the patient was covered empirically with vancomycin, ceftazidime, given gentle iv fluid bolus and is being admitted to renal medicine. at this time, he is hemodynamically stable. primary diagnosis : weakness, end - stage renal disease, and possible early infection including bacteremia. _ _ _ _ _
******************
/ 26 / 97. cultures cleared, was off ij line. medications - - his wife is not here to review his medications, and below is based on most recent d / c meds. aspirin 81 mg po qd colace 100 mg po bid compazine 10 mg po q6h prn nausea coumadin 3mg tablet take ud po qpm, 1 1 / 2tabs 2 days and 1 tab 5 days each week insulin regular inj sliding scale sc novolog 10 units sc ac oxycodone 5 mg / acetaminophen 325 mg 1 tab po q8h prn # 30 tablet pepcid 20 mg po qd renagel 1200mg po ac senna liquid 2 tsp po bid toprol xl 150 mg po qam - - takes after hd on hd days trazodone 50 mg po hs tylenol with codeine 30mg 30mg - 325mg tablet take 1 po q8h prn allergies reserpine - anemia, atorvastatin - rhabdoymyolysis, nifedipine - swelling, precipitates chf, sh : living : lives with wife in 2 story house. he has vna for 1hr 3x / wk to help with bathing. another vna 1d / wk for help around house. he has an electric scooter for mobility and various household assistance devices such as elevated toilet seat. family : married and lives at home with wife. 4 supportive children. work : previous work in law, was very active in his elk's lodge income : on ssi / disability etoh : none tobacco : none illicits : none hobbies : prior to pea arrest was very active in his elk's lodge fh : multiple members with cad, htn. pe : blood pressure 113 / 80 pulse 82 weight 214 lb gen : pleasant, fatigued appearing man in wheelchair heent : anicteric, mmm, perrl, eomi, op clear w / o evidence of thrush. mild conjunctival injectionneck : r. tunneled hd line in place and c / d / i, no ttp over tract. jvp difficult to assess but appears 9 - 10cmcv : s1s2, irreg irreg with 2 / 6 hsm heard best along lsb. r. arm fistula with strong pulse and positive thrillpulm : ctababd : over
******************
determine his current regimen. last a1c was 6. 0, and with recent evidence we will continue his current regimen. #. osa : sleep study completed, qualifies for cpap, and using with good effect. #. other : repeat utility letter d / w. dr. flossie william = = = = = = = = = = = = = = = = = = = = = = = = = = preceptor's note = = = = = = = = = = = = = = = = = = = = = = = = = = i have discussed the evaluation and care of this patient with dr. izaguirre. flossie william, md</t>
  </si>
  <si>
    <t>phoslo is not a dietary supplement; can nepro tube feeds be considered as dietary supplements?</t>
  </si>
  <si>
    <t>The patient has a history of diabetes and has been experiencing complications such as elevated blood glucose levels (376 and 190) and has been prescribed glyburide due to elevated creatinine levels, indicating potential kidney damage. Additionally, the patient has a history of coronary artery disease and myocardial infarction, which can be associated with uncontrolled diabetes. However, there is no explicit mention of major complications like amputation, retinopathy, or neuropathy. The combination of diabetes management issues and potential kidney damage suggests a severe case, which aligns with the inclusion criterion for major diabetes-related complications.</t>
  </si>
  <si>
    <t>['atenolol', 'cozaar', 'insulin', 'aspirin', 'zocor', 'glyburide']</t>
  </si>
  <si>
    <t>The model rationale identifies potential kidney damage due to elevated creatinine levels and diabetes management issues, which could suggest a severe case of diabetes. However, the evidence does not explicitly confirm major complications like nephropathy or retinopathy, which are required by the criterion. The rationale partially aligns with the criterion but lacks explicit confirmation of major complications. Evidence from chroma_id '274_1_0' and '274_2_0' supports the elevated glucose and creatinine levels.</t>
  </si>
  <si>
    <t>["274_1_0", "274_2_0"]</t>
  </si>
  <si>
    <t>cath lab team mobilized. the patient is going to the cath lab. final diagnosis : acute mi. disposition ( including condition upon discharge ) : family member has been called and message was left for his wife on her machine. she is probably on the way to the hospital and we will inform her. condition stable. diagnosis : acute mi in a 70 - year - old male, going to the cath lab. _ _ _ _ _ _ _ _ _ _ _ _ _ _ _ _ _ _ _ _ _ _ _ _ _ _ _ _ _ _ _ _ _ _ _ ec508 / 03905 paul valentine, m. d. pv46 d : 10 / 11 / 77 t : 10 / 11 / 77 dictated by : paul valentine, m. d. pv46 * * * * * * * * not reviewed by attending physician * * * * * * * *
******************
record date : 2078 - 04 - 20 pinellas general hospital pinellas internal medicine associates 58 topaz drive petersham, nj 81697 ickes, william 81071628 04 / 20 / 78 history : this is a 71 - year - old gentleman accompanied by wife who comes in with episodic complaint of polyuria, polydipsia and weight loss. he is followed in pima for multiple medical problems. refer to the problem list. history of present illness : the patient reports that he was informed that he had borderline diabetes in the past. he apparently called dr. frantz with present poly symptoms. he was advised to come to the office for serum glucose check. the patient does have a brother with diabetes. to his knowledge, neither one of his parents had diabetes. the patient does not have much knowledge regarding diabetes. he basically is now complaining of polyuria, polydipsia, and weight loss. he reports that he has had an 18 pound weight loss since 1 / 78, visit with dr. frantz. objective : serum glucose in the office random is 376. weight is 173. 75 pounds. diabetes instructions as follows, pathophysiology of diabetes is reviewed. action and rationale for oral agent versus insulin reviewed. hyper and hypoglycemic symptoms reviewed. acute and chronic complications of diabetes reviewed. gross no concentrated fruits diet reviewed. creatinine has been in the 1. 3 to 1. 5 range, over the last year. assessment : markedly elevated glucose now. plan : per consult of dr. frantz, m. d., we will start glyburide 5 mg tablet one p. o. q. d., since not able to use metformin in view of the patient's elevated creatinine. the patient was given prescription for glucometer. he will return to the office and will be instructed in the use of the glucometer. bring in glucose log at next visit. alternate fbs with predinner glucoses. wanda lucero, m. d. wl : mata ; 967581. doc ; dd : 04 / 20 / 78 ; dt : 03 / 21 / 78 ; dv : 04 / 20 / 78
******************
record date : 2079 - 02 - 02 pinellas general hospital pinellas internal medicine associates 76 topaz drive petersham, nj 81697 ickes, jr., william 81071628 02 / 02 / 79 history of present illness : mr. ickes comes in with pain in his right hip, left shoulder and for follow up of his coronary artery disease and his left wrist. his right hip continues to be painful at times. a radiogram in december showed that he has osteoarthritis in that hip. he has been taking motrin twice a day and finds that he does get some relief with that. his left shoulder has been bothering him for awhile but it is actually is somewhat better than it has been. it hurts to abduct him more than 90 degrees or to reach behind his back. his left wrist is bothering him some now. it is sore with most types of motion. regarding his diabetes, his blood sugar today was 190 early this morning. regarding his coronary disease, he has been walking every morning. he has had no chest pain pressure or discomfort. physical examination : blood pressure is 110 / 70, weight is 192 pounds, pulse is 70 and regular. he is a pleasant black man in no apparent distress. neck is supple without lymphadenopathy or thyromegaly. chest is clear to auscultation and percussion. cardiac, s1, s2, regular rate and rhythm, no murmurs or gallops. abdomen is soft. extremities, without edema. right hip, no pain with leg rolling. left shoulder is able to abduct to 90 degrees with no discomfort at all and is able to abduct completely with only minimal discomfort. it is nontender to palpation. left wrist, he is a little tender over the medial joint line. assessment and plan : 1. right hip : i think he has degenerative joint disease and i want him to continue on the motrin as needed. 2. left shoulder : i may well have bursitis here. he feels this has improved a lot and he would just as soon not do anything different for now but will let me know if it causes more problems. ickes, jr., william 81071628 02 / 02 / 79 page 2 3. left wrist : he probably also has some arthritis in his left wrist. he is tender in the joint line today. it is bothering him a little bit but not enough that
******************
he would like to do anything about it. 4. coronary disease : he has been doing well from this prospective. he has no recent chest pain, pressure or discomfort and his ldl has been very well controlled. 5. diabetes : his last hemoglobin a1c was slightly elevated and we will check another one today. i will have him follow up with olga in pima regarding his diabetic control. larry frantz, m. d. lf : jessup ; 33 - 437857. doc ; dd : 02 / 25 / 79 ; dt : 02 / 26 / 79 ; dv : 02 / 02 / 79
******************
record date : 2079 - 09 - 14 pinellas emergency dept visit ickes, william jr 810 - 71 - 62 - 8 visit date : 09 / 14 / 79 this patient was seen by myself and dr. caldwell on 9 / 14 / 79. i confirm that i interviewed and examined the patient, reviewed the resident's documentation, and discussed the plan of care with the patient. presenting complaint : chest pain. history of presenting complaint : the patient is a 72 year old gentleman who comes in with episode of chest pain described as dull, substernal, 2 - 10. he says that it comes and goes, but lasts for 20 minutes at a time. he states that it began this morning at approximately 7 a. m. there were no associated symptoms. he states that they are similar to his pain when he had a myocardial infarction. he denies any fevers, chills, or sweats. he has had some unchanged dyspnea on exertion. he has no nausea, vomiting, or diarrhea, he has had no palpitations, and he has had no lower extremity edema. he was referred by his primary care physician to the emergency department. review of systems : as noted on the hpi, otherwise negative. past medical history : hypertension, diabetes, coronary artery disease, status post myocardial infarction with stents, and hernia repairs. medications : atenolol, cozaar, insulin, aspirin, and zocor. allergies : he has no known drug allergies. social history and family history : he is a past smoker and occasional drinker. he denies drug use. he lives with his wife. physical examination : general : he is in no acute distress and is painfree. vital signs : temperature is 98, pulse 58, respiratory rate 20, and blood pressure 138 / 83. oxygen saturation is 99 %. heent : unremarkable. neck : supple. chest : clear to auscultation. heart : regular rate and rhythm. abdomen : soft and nontender. extremities : without edema. he's got equal pulses. neurologic : grossly nonfocal. laboratory evaluation : ekg shows sinus rhythm and nonspecific st - t wave changes without significant changes compared to 5 / 26 / 78. his cbc is normal. sma - 7 is pending. his inr is 1. 0
******************
. his urinalysis is negative. chest x - ray shows no infiltrate, effusion, or congestive heart failure. therapy rendered / course in ed : the patient got one nitroglycerin which took his pain away. he also received aspirin and has remained painfree. final diagnosis : this is a patient with chest pain, history of coronary artery disease, and question of acute coronary syndrome. disposition ( including condition upon discharge ) : he is currently symptom - free and will be admitted in stable condition for further evaluation and rule out for myocardial infarction. _ _ _ _ _ _ _ _ _ _ _ _ _ _ _ _ _ _ _ _ _ _ _ _ _ _ _ _ _ _ _ _ _ _ _ dy785 / 97413 jerico wills, m. d. jw97 d : 09 / 14 / 79 t : 09 / 14 / 79 dictated by : jerico wills, m. d. jw97 * * * * * * * * not reviewed by attending physician * * * * * * * *</t>
  </si>
  <si>
    <t>The patient had a myocardial infarction (MI) on 07/25/2060, which is within the past 6 months from the current date of 01/17/2063. Therefore, the patient meets the inclusion criterion of having an MI within the past 6 months.</t>
  </si>
  <si>
    <t>['ramipril 5 mg b.i.d.', 'aspirin 162 mg daily', 'cozaar 50 mg b.i.d.', 'crestor 10 mg daily', 'fish oil 500 mg b.i.d.', 'metformin 500 mg b.i.d.', 'multivitamins', 'niacin 500 mg daily', 'plavix 75 mg daily', 'toprol-xl 100 mg b.i.d.']</t>
  </si>
  <si>
    <t>The model rationale incorrectly states that the myocardial infarction (MI) occurred within the past 6 months from the current date of 01/17/2063. The evidence (chroma_id: '276_1_0') shows the MI occurred on 07/25/2060, which is more than two years prior to the current date. Therefore, the patient does not meet the criterion of having an MI within the past 6 months.</t>
  </si>
  <si>
    <t>["276_1_0"]</t>
  </si>
  <si>
    <t>record date : 2060 - 07 - 25 edvisit ^ 32707420 ^ gipson, alec ^ 07 / 25 / 60 ^ yerger, desean the patient was seen with dr. godfrey. i confirmed her history and physical. i also interviewed and examined the patient. please see the note for more details. history of present illness : this is a 71 - year - old gentleman with a history of hypertension, non - insulin - dependent diabetes, and 2 weeks of intermittent chest pain for which he was evaluated with stress test a week prior to ed visit, which was abnormal. the patient had a plan for cardiac catheterization the day after this ed visit but presented on this day for an episode of chest discomfort which occurred at rest, which was unlike his previous episodes of chest discomfort which usually occurred with activity. he took nitroglycerin with relief and then presented for further evaluation and treatment. medications : metformin, toprol, cozaar, nitro, aspirin, and altace. physical examination : he is awake and alert, in no distress, chest pain free. afebrile with pulse 72, blood pressure 129 / 69, and o2 saturation 98 % on room air. his lungs are clear to auscultation. heart : regular rate and rhythm. abdomen is soft and nontender. extremities are warm and well perfused. no elevated jvp. emergency department course : an ekg was done revealing right bundle - branch block, but sinus rhythm at 67 with no ischemic changes. iv access was established. labs were sent revealing essentially normal cbc and electrolytes. initial troponin was less than assay with an inr of 1. 1 and chest x - ray, which was normal. the patient has been taking aspirin prior to arrival. heart rate was in the 60s in the emergency room and no additional beta - blockade was given to the patient. however, based on his story, which was suggestive for unstable angina, he was given lovenox in the emergency room. i spoke to the cardiology b attending on call who agreed to take the patient on to his service for probable cardiac catheterization in the near future. with this plan, he was admitted in stable condition with a diagnosis of unstable angina. critical care time : 50 minutes. _ _ _ _ _ _ _ _ _ _ _ _ _ _ _ _ _ _ _ _ _ _ _
******************
record date : 2060 - 07 - 28 gipson, alec 32707420 07 / 28 / 2060 vernon lozano, m. d. cv division, ireton medical clinic 91 neptune lane abilene, fl 81494 dear vernon, i write to summarize for your records the recent imc course of your patient, dr. alec gipson, who was admitted to our cardiology service on 07 / 25 / 2060 with progressive angina and a small, non - st elevation mi. his cardiac troponin rose to 0. 13. there were no demonstrable ecg changes, though we queried the possibility of a left circumflex event. he had been previously scheduled for semi - urgent catheterization and angiography on 07 / 26 / 2060. his condition stabilized with institution of anti - thrombotic and anti - ischemic therapy. he was taken to the catheterization laboratory by dr. otero on 07 / 26 / 2060. angiography demonstrated a high - grade lesion in the proximal portion of a large first diagonal branch, as well as a significant stenosis in the first obtuse marginal branch. the diagonal lesion was managed with angioplasty and deployment of a drug - eluting stent. a drug - eluting stent could not be delivered to the obtuse marginal lesion ; a bare - metal stent was positioned without difficulty. he did have smoldering chest discomfort of an anginal nature following the procedure. the cardiac troponin elevated further to a peak value of 0. 86 as of 07 / 27 / 2060 ( 08 : 54 ). he also had a mild, vagal reaction characterized by flushing and transient bradycardia. he felt much improved the following day. a repeat cardiac troponin returned at a lower level of 0. 75. an abdominal ultrasound showed no evidence of an aaa. after consultation with you, we felt that he could return home, under the care of his wife. he was discharged on the afternoon of 07 / 27 / 2060. his medications included ecotrin 325 mg daily, clopidogrel 75 mg daily, losartan 100 mg daily, metformin 500 mg b. i. d., toprol - xl 50 mg b. i. d., niacin 500 mg b. i. d., ramipril 2. 5 mg daily,
******************
record date : 2061 - 01 - 31 edvisit ^ 32707420 ^ gipson, alexander ^ 01 / 31 / 61 ^ velasquez, walter this patient was seen by myself and dr. hardin on 01 / 31 / 2061. i confirm i interviewed and examined the patient, reviewed the resident's documentation, and discussed the plan of care with the patient. history of present illness : this is a 73 - year - old gentleman who has a history of cad status post stent in 2060, who developed acute chest discomfort, pressure like, diaphoresis, and weakness, while he was working as a chiropractor. he says although this was quite significant, it was not like his prior mi discomfort. he denies any radiation to his back or his arm. he denies any jaw pain. he denies any fever, chills, or sweats. he denies any vomiting. he denies any headache or neck pain. he denies any bowel or bladder changes and no lower extremity edema. he is taking his medicines. he also took an aspirin, did get some nitroglycerin. past medical history : diabetes, hypertension, hypercholesterolemia, and cad. medications : cozaar, aspirin, altace, metformin, and toprol. allergies : he has no known drug allergies. social history : he is a past smoker, not a drinker or drug user. he lives with his family. review of systems : as noted in the hpi, otherwise negative. physical examination : he is in no acute distress at rest. he says his chest pain is essentially gone on oxygen. vital signs are as noted. head, eyes, ears, nose, and throat : normocephalic and atraumatic. pupils are equal and reactive to light. extraocular motions are intact. oropharynx is unremarkable. neck is supple. there is no jugular venous distention. chest is clear to auscultation. heart is regular rate and rhythm. his abdomen is soft and nontender. there is no hepatosplenomegaly. there are no masses. his skin is warm and dry. there is no lower extremity edema. he has equal pulses. his neuro exam is alert and oriented to person, place, and time. his cranial nerves are intact. he is grossly nonfocal
******************
. laboratory data : he has a white count of 8, hematocrit of 46, and platelet count of 200, 000. his sma - 7 is unremarkable. ck - mb and troponin are flat and inr is 1. his ekg shows less than 1 mm st depressions in v2, without any reciprocal or other changes. assessment : the patient with a history of cad with concerning symptoms. he did have a fight earlier in the day, although was not under significant stress at the time of this event. given his prior cad history, the patient was given lopressor. decision was made to admit him for rule out acute coronary syndrome. the patient was admitted in stable condition. the patient had already got an aspirin and the patient remained in stable condition until he was admitted. diagnosis : rule out acute coronary syndrome. _ _ _ _ _ _ _ _ _ _ _ _ _ _ _ _ _ _ _ _ _ _ _ _ _ _ _ _ _ _ velasquez, walter m. d. d : 01 / 31 / 61 t : 02 / 01 / 61 dictated by : velasquez, walter escription document : 9 - 1137686 bffocus * * * * * * * * not reviewed by attending physician * * * * * * * *
******************
record date : 2063 - 01 - 17 gipson, alexander 32707420 01 / 17 / 2063 ulysses peralta, m. d. 82 march street coalinga, fl 84635 dear dr. peralta : i saw your patient, dr. gipson, in the cardiology office today on a somewhat urgent basis. he was recently in italy last week with very difficult events concerning his father's ill health. his father ultimately died and was a very traumatic series of days for dr. gipson and his family. he developed left chest discomfort, which persisted for a number of days. he was afraid to take nitroglycerin despite knowing that he should, and therefore remained with chest discomfort for about six days. he was able to be reasonably active and had no exacerbation of his chest discomfort. he had no nausea, vomiting, diaphoresis, or palpitations. he then returned to the united states and his symptoms have resolved. because of these discomforts, he wanted to undergo an additional evaluation. we performed an exercise treadmill test with perfusion imaging two days ago for better understanding of his symptoms. he exercised for 7 minutes and 30 seconds on the standard bruce protocol to a peak heart rate of 122 beats per minute ( 84 % of maximum predicted for age ) and peak blood pressure of 162 / 80. he stopped because of dyspnea and had some discomfort. the discomfort resolved into recovery. he had no st segment changes. his perfusion scan demonstrated normal lv size and normal tracer uptake in the lungs. there was normal rv size as well. there was a small - to - medium medium - sized defect of moderate intensity in the mid and basal inferior wall that was reversible. these were no different than the prior study he had in july 2061. as you may remember, in january 2061, he underwent cardiac catheterization that demonstrated the presence of non - major flow - limiting obstructions and so no intervention was performed. his current medical regimen includes ramipril 5 mg b. i. d., aspirin 162 mg daily, cozaar 50 mg b. i. d., crestor 10 mg daily, fish oil 500 mg b. i. d., metformin 500 mg b. i. d., multivitamins, niacin 500 mg daily, plavix 75 mg daily, toprol - xl 100 mg b. i. d., hc
******************
##tz 12. 5 mg daily, and nexium. on exam today, he is comfortable with a blood pressure of 135 / 75, a heart rate of 60 and regular, and weight of 189 pounds. head and neck are unremarkable. chest is clear. cardiac exam shows no jugular venous distention at 30 degrees. pmi is normal. s1 and s2 are normal with a physiologic split. there is an s4 and 1 / 6 systolic ejection murmur at the left sternal border. abdominal exam is unremarkable without organomegaly. bowel sounds are normal. the extremities show no edema or cyanosis. carotid upstrokes are normal in contour and volume without bruit. distal pulses are normal. his resting 12 - lead electrocardiogram demonstrates normal sinus rhythm and normal morphology. i think dr. gipson is basically doing very well. i think his chest discomforts for six days while in italy may be related to anxiety and perhaps the known gastroesophageal reflux disease that he has. i think there is no evidence that the discomfort was cardiac in origin. his exercise capacity is quite good and his perfusion is actually somewhat even improved from his prior evaluation two years ago. i think we can maintain our current approach. i suggest that i see him in a number of months for future evaluation. if any problems develop in the interim, please do not hesitate to contact me. thank you for allowing me to help with his care. kindest regards. sincerely yours, _ _ _ _ _ _ _ _ _ _ _ _ _ _ _ _ _ _ _ _ _ _ _ _ _ _ _ _ _ _ vernon a lozano, md escription document : 9 - 1764070 iffocus dd : 01 / 17 / 63 dt : 01 / 18 / 63 dv : 01 / 17 / 63</t>
  </si>
  <si>
    <t>The patient has a history of coronary artery disease (CAD) and has undergone CABG (coronary artery bypass grafting). He is currently taking multiple medications that are commonly used to treat CAD, including aspirin (asa), metoprolol, lisinopril, and simvastatin. This satisfies criterion (a) of taking 2 or more medications for CAD. Additionally, the patient has a history of atrial fibrillation and has experienced chest pain since heart surgery, which may indicate ischemia. However, there is no explicit mention of a myocardial infarction (MI) or current angina. Therefore, the patient meets at least 2 of the categories (a and possibly d), fulfilling the inclusion criterion for advanced CAD.</t>
  </si>
  <si>
    <t>['asa (acetylsalicylic acid) 81mg', 'furosemide 40 mg', 'metformin 500mg', 'lopressor (metoprolol tartrate) 50mg', 'lisinopril 5mg', 'digoxin 125mcg', 'simvastatin 5mg', 'warfarin sodium 5 mg', 'warfarin sodium 1.5 mg', 'alprazolam 0.25 mg']</t>
  </si>
  <si>
    <t>The model correctly identifies that the patient is taking multiple medications for CAD, satisfying criterion (a). However, the evidence does not explicitly confirm ischemia or a history of myocardial infarction, which are necessary to fully meet the 'advanced' CAD definition. The mention of chest pain since surgery (rank 4) is not sufficient to confirm ischemia without further diagnostic evidence. Thus, the rationale is only partially complete.</t>
  </si>
  <si>
    <t>["277_3_0"]</t>
  </si>
  <si>
    <t>record date : 2078 - 01 - 30 we are consulted by dr. bonilla for assistance with glycemic management. mr. ervin is a 67 y / o gentleman who is presently pod # 1 after avr and 2v cabg. he had known calcific as and presented with increasing fatigue and dyspnea on exertion. he was subsequently found to have worsening as and cad, including lm disease. his peri - operative course has been notable for hyperglycemia with maximum bg 252. he was started on an insulin infusion according to the portland protocol and remains on 0. 5 - 2 units / hour since midnight with bs 117 - 134 - 163 - 151 - 125 - 137 - 98 - 99. mr. ervin recalls having been diagnosed with dm at the age of 19 as part of a military physical. he was overweight and was placed on dietary therapy. per his own report his dm was diet controlled and " seemed to disappear " several years after initial diagnosis. approximately 4 years ago he experienced blurry vision and was again noted to have elevated bgs ( he is uncertain of the magnitude of the bg elevation ). he resumed dietary therapy and has achieved good control with a pre - op a1c of 6. 2. he is followed at the skiff. he has never been on insulin or ohas and denies knowledge of diabetic complications. he checks bs at home sporadically which are usually in the low - mid 100s. he says when he experiences hyperglycemic symptoms ( i. e. occasional nocturia ) he walks to bring down his blood sugar. in general he is active, walking several miles / day. past medical history : htn, as, dm2 as above current medications : insulin, k / mg, asa, toradol, zofran, vanco, carafate social history : remote tobacco, etoh famiy history : son with dm1, grandmother with dm ros : denies ha or changes in vision. + sob pta. no abdominal pain or changes in bowels. no dysuria, occasional nocturia. no recent lower extremity swelling. remainder of review of systems is negative or as per hpi. physical exam : vitals : 98. 2 70 120 / 68 gen : pleasant, heavy set ( but muscular ) gentleman in nad heent : nc / at eomi neck : supple central venous line in
******************
place cv : distant hs chest : wound intact lungs : clear anteriorly abd : s / nt extremities : no edema, well perfused neuro : a &amp; ox3 skin : intact labs : pre - op a1c 6. 2. prior a1c 7. 2 in 4 / 73 a / p mr. ervin has dm2 which was adequately controlled pre - operatively with diet and exercise. he is presently requiring insulin in the setting of the stress of surgery. meticulous bg control is important in the post - operative period. the goal is to maintain bs &lt; 175. he should remain on the portland protocol until at least pod # 3. at that point only if he is fully stabilized and eating well can he be transitioned on to an alternative regimen. he may transiently require subcutaneous insulin but will ideally be able to resume dietary control of dm. thank you for allowing us to participate in the care of this patient. our team will follow with you. _ _ _ _ _ _ _ _ _ _ _ _ _ _ _ _ _ _ _ _ _ _ _ _ _ _ _ _ _ _ _ _ _ _ _ _ _ _ _ _ _ _ _ _ _ paige quadirah hooper, m. d.
******************
record date : 2079 - 01 - 06 edvisit ^ 52402461 ^ ervin, quindarrius ^ 01 / 06 / 79 ^ medina, luther seen on 01 / 06 / 2079 with dr. delaney. i confirmed that i have interviewed and examined the patient, reviewed the resident's documentation on the patient's chart, and discussed the evaluation, plan of care, and disposition with the patient. please see the resident's note for details. history of present illness : briefly, this is a 68 - year - old gentleman who presents from rehab with 1 week of diaphoresis and 2 days of shortness of breath and nonproductive cough. he has a history of diabetes, hypertension, spinal stenosis, atrial fibrillation, chf, cabg, and aortic valve replacement. physical examination : he is profoundly diaphoretic and is in mild respiratory distress. pulse 82, respirations 20, blood pressure 145 / 95, pulse oximetry 98 % on room air, and his temperature is 95. 9. he has crackles and bronchial breath sounds in his right middle and upper lung fields. he has a regular rate and rhythm with a 2 / 6 systolic murmur. laboratory data : his chest x - ray shows right upper lobe infiltrate. sodium is 135. his white count is 9. 8 with left shift. clinical impression : pneumonia. * * * * * * * * not reviewed by attending physician * * * * * * * * plan : admission for iv antibiotics. _ _ _ _ _ _ _ _ _ _ _ _ _ _ _ _ _ _ _ _ _ _ _ _ _ _ _ _ _ _ medina, luther m. d. d : 01 / 07 / 79 t : 01 / 07 / 79 dictated by : medina, luther escription document : 9 - 5046707 bffocus
******************
record date : 2079 - 10 - 13 quindarrius is a 69 y / o male with : problems coronary artery disease : cabg x2 vessels, 2 / 78. aortic stenosis : avr 2 / 78 / dr bonilla diabetes mellitus : dr ayala - skiff atrial fibrillation spinal stenosis : c3 - 4 ; c5 - 6 ; c7 - t1 medications asa ( acetylsalicylic acid ) 81mg tablet take 1 tablet ( s ) po qd furosemide 40 mg ( 40mg tablet take 1 ) po qd metformin 500mg tablet take 1 tablet ( s ) po 2 am, 1 pm, for blood sugar lopressor ( metoprolol tartrate ) 50mg tablet po tid lisinopril 5mg tablet take 1 tablet ( s ) po qd digoxin 125mcg tablet po qd simvastatin 5mg tablet po qhs viagra ( sildenafil ) 25 mg - 50 mg ( 50mg tablet ) po x 1, take 1 / 2 - 1 tab as directed. metrogel 0. 75 % ( metronidazole ) 1 application top bid warfarin sodium 5 mg ( 5mg tablet take 1 ) po qpm, takes total of 5. 5 mg qd. warfarin sodium 0. 5 mg ( 1mg tablet take 0. 5 ) po qpm, takes total of 5. 5 mg qd. alprazolam 0. 25 mg ( 0. 5mg tablet take 0. 5 ) po qhs prn allergies nka evaluation of treatment of : 1. reverted to afib over spring. cor - no chest pain. occ doe. no palpitations. no lighthead. no pnd. no orthopnea. no claudication. no edema. 2. dm well controlled. hgb a1c = 6. 7 9 / 79. eye exam 4 / 79. endocrine : no polydipsia, polyuria, polyphagia, weight change, sweats, heat intolerance. ldl = 44. 3. last visit given metrogel for rosacea. no change. needs derm eval and treatmetn of probable actinic keratoses. 4. c / o occ hoarse. no sore throat. occ dry. worse after arguing. no reflux. oc dyspe
******************
record date : 2080 - 05 - 04 quin is a 69 y / o male with : problems coronary artery disease : cabg x2 vessels, 2 / 78. aortic stenosis : avr 2 / 78 / dr bonilla diabetes mellitus : dr ayala - skiff atrial fibrillation spinal stenosis : c3 - 4 ; c5 - 6 ; c7 - t1 medications asa ( acetylsalicylic acid ) 81mg tablet take 1 tablet ( s ) po qd furosemide 40 mg ( 40mg tablet take 1 ) po qd metformin 500mg tablet take 1 tablet ( s ) po 2 am, 1 pm, for blood sugar lopressor ( metoprolol tartrate ) 50mg tablet po tid lisinopril 5mg tablet take 1 tablet ( s ) po qd digoxin 125mcg tablet po qd simvastatin 5mg tablet po qhs viagra ( sildenafil ) 25 mg - 50 mg ( 50mg tablet ) po x 1, take 1 / 2 - 1 tab as directed. metrogel 0. 75 % ( metronidazole ) 1 application top bid warfarin sodium 5 mg ( 5mg tablet take 1 ) po qpm, takes total of 6. 5 mg qd. warfarin sodium 1. 5 mg ( 1mg tablet ) po qpm, takes 1. 5mg along w / 5mg tab for total of 6. 5 mg daily. alprazolam 0. 25 mg ( 0. 5mg tablet take 0. 5 ) po qhs prn allergies nka he has some chronic complaints. itchy throat and runny nose. no runny, ithcy eyes. cor - no sob with walking but with heavy lifting. no palpitations. no lighthead. no pnd. no orthopnea. no claudication. no edema. no nausea has had chest pain since heart surgery. not related to activity. always present. has mibi schedueld for 5 / 80. 2. dm - home gou 120 - 150. followed at skiff. endocrine : no polydipsia, polyphagia, weight change, sweats, heat intolerance. stable nocturia x3. gi - no nausea. no vomitting. no dyspepsia. no reflux. no abdo pain. no dia
******************
##rtic stenosis : avr 2 / 78 / dr bonilla diabetes mellitus : dr ayala - skiff atrial fibrillation spinal stenosis : c3 - 4 ; c5 - 6 ; c7 - t1 allergies nka vital signs bp 108 / 62, p 93, temp 98. 2 f, wt 200 lb o2 sat 96 wd, wn, nad head - no tender m &amp; amp ; t - lips and gums unremarkable. moist ; no erythema ; no exudate ; no lesions neck - reduced rom - stable. no jvd. no bruit. no lan. no thyromegaly cor - irreg rhyhm. s1s2 normal. no gallop. no rub. no murmer. pulm - no accessory muscle use. percussion - normal. palpation - normal. auscultation - clear. abdo - normal bs ; soft with no hsm. no mass. no tenderness ext - no edema. results11 / 12 / 2082 [ 1 ] na 136 [ 2 ], k 4. 6, bun 19, cre 0. 8, egfr 101. 0 [ 3 ], glu 112 ( h ) [ 1 ] specimen comment : unless otherwise noted, test performed at saline community hospital, 05 pluto street, oconto falls, me 25677, christopher leslie, md, phd, laboratory medical directorcbc sent to hrmc [ 2 ] result comment : rv = repeated and verified [ 3 ] result comment : ( abnormal if &amp; lt ; 60 ml / min / 1. 73m2 if patient is black multiply by 1. 21 ) 11 / 12 / 2082 [ 1 ] alt / sgpt 26, ast / sgot 19 [ 1 ] specimen comment : unless otherwise noted, test performed at saline community hospital, 46 pluto street, oconto falls, me 25677, christopher leslie, md, phd, laboratory medical directorcbc sent to hrmc11 / 12 / 2082 [ 1 ] ck 78 [ 1 ] specimen comment : unless otherwise noted, test performed at saline community hospital, 70 pluto street, oconto falls, me 25677, christopher leslie, md, phd, laboratory medical directorcbc sent to hrmc11 / 12 / 2082 [ 1 ] chol 133 ( l ) [ 2 ], trig 161, hdl 48, ldlcal</t>
  </si>
  <si>
    <t>The patient has a history of abdominal surgery, specifically a recent repair of a right inguinal hernia. This qualifies as intra-abdominal surgery, thus meeting the inclusion criterion.</t>
  </si>
  <si>
    <t>['acetylsalicylic acid (aspirin) 325 mg', 'cilostazol 100 mg', 'brimonidine tartrate 1 drop', 'multivitamins (mvi) 1 tab', 'simvastatin 80 mg', 'lisinopril 40 mg', 'docusate sodium (colace) 100 mg', 'olanzapine (zyprexa) 3.75 mg', 'polyethylene glycol (miralax) 17 gm', 'bisacodyl rectal (dulcolax rectal) 10 mg', 'duloxetine 60 mg', 'metoprolol succinate extended release (toprol xl) 100 mg', 'amlodipine (norvasc) 2.5 mg', 'terazosin hc 5 mg', 'metformin 500 mg']</t>
  </si>
  <si>
    <t>The model rationale incorrectly classifies a right inguinal hernia repair as intra-abdominal surgery. Inguinal hernia repairs are not considered intra-abdominal surgeries as they do not involve entry into the abdominal cavity. The evidence (chroma_id: '294_1_0') confirms the patient had a right inguinal hernia repair, which does not meet the criterion of 'History of intra-abdominal surgery'.</t>
  </si>
  <si>
    <t>["294_1_0"]</t>
  </si>
  <si>
    <t>record date : 2094 - 08 - 24 bmh senior health initial visit cc : 79 yo man hx depression, psychosis, insomnia, cad, syncope, htn, dmt2, carotid stenosis, pvd, here for pcp and f / u of these and other chronic health problems hpi : patient recently presented to bmh with syncope s / p standing abruptly leading to left forhead lac. no seizure activity. he was brought to bmh where he indicated he had had 2 similar episodes in previous month. concern for cardiac orig1n given lack of posterior fossa signs, orthostasis at bmh, hx of seizure symptoms, and significant trauma. he ruled out for mi, had tte showing ef 59 % but had inf. wma and la dilation. cardiology was therefore consulted. an adenomibi stress test was later performed and revealed mild inf. lat reversible ischemia, therefore a lhcath was performed and showed moderate non - intervenable lesions in the rca and distal plv. the patient also underwent an ep study that was non - diagnostic. an implantable loop recorder was placed on 6 / 21. other work up of syncope included cnis showing mild rica stenosis ; neurology consult thought these findings were unlikely to be the cause of his syncope and agreed with continued evaluation of cardiac etiologies. in hospital, was noted that pt had had 40 lb weight loss over previous months. surgery was consulted regarding prompt need for intervention of a known hernia, their evaluation was that the hernia was benign without signs of obstruction and there was no need for inpatient intervention. endocrine w / u included nl tsh and cortstim. the patient had had a recent chest and abd ct and colonoscopy that had no evidence of pancreatic or colonic massess. spep and bnp wnl and ; his psa was elevated at 9. 56, however alk phos, bone survey, bone scan were all normal. the patient's nutrition and po intake improved greatly s / p treatment for constipation with an aggressive bowel regimen. just prior to d / c, after returning from an uncomplicated ep study the patient started to exhibit inappropriate behavior ( showing stool when not requested to staff ) and stating bizarre thoughts ( " i lost my mortal soul " ). psychiatry was consulted and
******************
groin secondary to inguinal hernia. awaiting appt with dr. small - - sept 15th. bowel movements much better, going 2 - 3 times per day. taking lots of fruits and vegetables. only occasional constipation. no abdominal pain no more syncopal episodes ros : general : energy level fair, has gained 20 lbs since discharge skin : no rashes, lesions heent : no eye pain, spots, flashes of light, no new ear pain cardiac : no chest discomfort no palpitations pulmonary : no doe, no chronic cough gi : little constipation no, no diarrhea gu : 4 - 5x nocturia. not worsening. will f / u at fhv with urologist. musculoskeletal : no significant pains neurological : no motor / sensory problems pmh : 1. niddm. had had dm for &gt; 15 yrs 2. htn x yrs 3. hyperlipidemia 4. bph 5. diverticulosis ( noted on abd ct ) 6. basal cell carcinoma excisions on chest : followed by dermatologist 7. carotids stenosis 8. claudication : walks a couple blocks before begins feeling cramps in leg 9. glaucoma 10. inguinal hernia : 9 / 93 pending surgery 11.? ventral hernia 12 : depression 13 : psychosis 14 : insomnia medications : acetylsalicylic acid ( aspirin ) 325 mg po qd cilostazol 100 mg po qd brimonidine tartrate 1 drop ou bid multivitamins ( mvi ) 1 tab po qd simvastatin 80 mg po qd lisinopril 40 mg po qd docusate sodium ( colace ) 100 mg po tid olanzapine ( zyprexa ) 3. 75 mg po qhs polyethylene glycol ( miralax ) 17 gm po qd bisacodyl rectal ( dulcolax rectal ) 10 mg pr qd prn [ constipation ] duloxetine 60 mg po qod metoprolol succinate extended release ( toprol xl ) 100 mg po qd amlodipine ( norvasc ) 2. 5 mg po qd mirtazapine ( remeron ) 15 mg po q bedtime prn [ insomnia ] terazosin hc
******************
##l 5 mg po qd metformin 500 mg po qd allergies : nkda habits : smoking : not currently, former smoker 6yo until age 45. 1ppd etoh : not currently. used to drink socially illicits : none diet : lots of fruits and vegetables exercise : walks 0. 5 to 1 mile / day health maintenance : pneumovax : have had in past influenza vaccine : gets flu vaccine each year colonoscopy : done in 2094 showing only mild sigmoid tics pap test : n / a mammograms : n / a dex screening : never dental : sees dentist dr. uecker every few years opthalmologic : sees yearly through fhv functional status : adls : independent iadls : independent mobility : independent hcp : wife, ernestine is primary proxy. alternative is daughter, teresa berry. code status : has not decided as of yet. fh : nc sh : born in bryan. raised in shirley, il. currently lives in shirley. married for 53 years with 6 children and 7 grandchildren. pe : vitals : 96. 4, 80, 120 / 60, 20, 195. 8gen : nad, ox3, alert, pleasant, normal affect, normal thought process and content, denies ah, vh, si. able to spell " world " backwards heent : perrl, eomi, op clear, tm well visualized, minimal cerumen, no thyromegaly, jvp 7cm chest : cta b / l heart : rrr occasional premature beats, normal s1 an s2,? s4 abd : obese, distended, soft, umbilical / ventral hernia, reducible, no organomegaly ext : 1 + edema b / l, no decreased sensation to pin prick, distal legs hairless, 1 + dp pulses b / l, venous stasis changes, no ulcers skin : no rashes neuro : cn 2 - 12 intact. mild left sided facial droop, mild left ptosis, mild left decrement on eyebrow raise, otherwise grossly wnl. groin : right reducible inguinal hernia into scrotum. bs appreciated, nt. rectal : large, soft prostate, heme neg stool labs : pending ekg : nsr with sinus arrhythmia, qrs widening, left axis, poor r wave
******************
record date : 2094 - 12 - 02 cardiology baptist memorial hospital reason for visit : coronary artery disease, hypertension, hyperlipidemia, history of syncope interval history : mr. shepherd is a 79 year old man with coronary artery disease, hypertension, diabetes mellitus type 2, hyperlipidemia, carotid disease, and peripheral vascular disease who was admitted to the medicine service in june, 2094, for syncope and now returns for cardiology followup. to summarize, in june, the patient was admitted after experiencing several syncopal episodes. they were associated with a prodrome of lightheadedness and weakness that sometimes occurred with positional changes and at other times at rest. he denied associated chest pain, palpitations, diaphoresis, vertigo, focal neurologic weakness, dysphagia, diplopia or blurry vision occur during the episodes. these spells lasted about 4 - 5 minutes and there were no incontinence, post - ictal symptoms, or tonic - clonic movements. his workup included a surface echocardiogram that showed an ejection fraction of 59 % but with inferior wall motion abnormalities. a subsequent adenosine mibi showed mild inferolateral ischemia and a cardiac catheterization showed 40 % ostial rca disease and a 75 % lesion in a small diameter distal plv. the culprit lesion was felt to be non - intervenable and the patient was started on medical therapy. during his admission, his telemetry showed a twelve beat run of non - sustained ventricular tachycardia and so the electrophysiology service was called. he underwent an electrophysiology study which was nondiagnostic and a reveal monitor was implanted. prior to his discharge, the patient exhibited features of depression with psychotic features and he was ultimately transferred to the in - patient psychiatry unit for about four weeks. today, he presents with no acute complaints. he denies chest pain, dyspnea, or palpitations. he s had no further fainting spells and reports that his last reveal interrogation was unremarkable. his claudication is at his baseline. he walks at a mall for 30 minutes to 1 hour before he experiences a " tired " sensation in both legs. he is followed in the vascular clinic at the fhv medical center. also of note, he underwent a repair of a right inguinal hernia in
******************
record date : 2095 - 02 - 04 patient name : shepherd, aaron w [ 5613892 ( bmh ) ] date of visit : 02 / 04 / 2095, 7 : 40 am admission note - attending / pcp s - 79 yo m etired archive manager with a history of recent repair of right inguinal hernia who presents to the er with a 1 - week history of abdominal pain localizing to the right lower quadrant / groin, constipation, urinary incontinence, admitted for mod. / severe urinary retention ( 2 liters ), bilateral hydronephrosis due to severe bph, also arf to bun / cr 30 / 3. 0. pmh significant for : constipation, depression, psychosis, insomnia, cad, syncope, htn, dmt2, carotid stenosis, pvd. details per dr. davidson. problems hydronephrosis : bila. mod / severe 2 / 95 due to very large prostate acute renal failure : 2 / 95 30 / 3. 0 peripheral vascular disease : ca + + celiac axis and sma 2 / 95 coronary artery disease depression weight loss constipation inguinal hernia glaucoma syncope bradycardia benign prostatic hypertrophy nocturia psychosis diabetes mellitus type 2 hyperlipidemia last known medications aspirin ( acetylsalicylic acid ) 325 mg ( 325mg tablet take 1 ) po qd brimonidine tartrate 1 drop ( 0. 2 % drops ) ou bid cilostazol 100 mg ( 100mg tablet take 1 ) po bid dulcolax ( bisacodyl ) 5 mg ( 5mg tablet take 1 ) po qd lasix ( furosemide ) 20 mg ( 20mg tablet take 1 ) po qd lisinopril 40 mg ( 40mg tablet take 1 ) po qd metformin 1000 mg ( 1000mg tablet take 1 ) po bid metoprolol tartrate 50 mg ( 50mg tablet take 1 ) pngt bid mvi ( multivitamins ) 1 tab po qd norvasc ( amlodipine ) 10 mg ( 5mg tablet take 2 ) po qd remeron ( mirtazapine ) 3. 75 mg ( 15mg tablet take 0. 25 ) po qd zocor ( simvastatin ) 80 mg (
******************
record date : 2095 - 07 - 25 bmh senior health return visit cc : 79 yo man hx depression, psychosis, insomnia, cad, syncope, htn, dmt2, carotid stenosis, pvd, recent right inguinal hernia repair c / b hydrocele, recent turp for bladder outlet obs presents for f / u of these and other chronic health problems hpi : briefly, patient to bmh with syncope in spring 2094. work up unremarkable including cerebrovascular imaging, cardiac cath, ep study, loop recorder. noted to have stable cad and is on regimen for that including acei, bb, asa, statin. in hospital, was noted that pt had had 40 lb weight loss over previous months. chronically elevated psa noted. bone scan performed was unremarkable. right inguinal hernia noted, was repaired in october. pt noted to be depressed and psychotic, requiring inpt hospitalization on psych floor. depn successfully treated and psychosis improved as well. has been followed by dr. nobles s / p d / c. presented to bmh in early feb with abdominal pain, found to have bladder outlet obs from enlarged prostate leading to b / l hydronephrosis. repeatedly failed voiding trials s / p d / c despite maximal medical therapy. therefore, had an uncomplicated turp. since turp, pt had successful voiding trial. had been asked to continue his proscar and 2 flomax qd for another month, then stop proscar and continue with just one flomax qd after this period of time. still taking both, however, at this time. seen by cardiology. felt stable from cv perspective. recommended lower ext abis / pvrs which pt declined at time. recommended restarting asa s / p turp. mood stable. has been only taking 3. 75mg zyprexa qd, not been taking 7. 5mg as prescribed. has been having some weight loss per hx - - however, not so upon checking of weights in lmr. notes that he feels weaker than usual - - " weak as a kitten. " feels coincides with when he was hospitalized and meds then started. also notes watery eyes x few months. wonders whether this can be due to flomax pmh : 1. niddm. had had</t>
  </si>
  <si>
    <t>MAKES-DECISIONS</t>
  </si>
  <si>
    <t>The clinical notes indicate that the patient is alert, pleasant, and has intact judgment. There is no explicit mention of the patient being unable to make their own medical decisions. Therefore, it can be inferred that the patient meets the criterion of making their own medical decisions.</t>
  </si>
  <si>
    <t>['asa 325mg', 'brimonidine 0.2%', 'cardura 4mg', 'cymbalta 60mg', 'lasix 20mg', 'lisinopril 40mg', 'miralax 17g', 'pletal 100mg', 'senna 2tabs', 'toprol xl 100mg', 'zocor 80mg', 'zyprexa 3.75mg']</t>
  </si>
  <si>
    <t>The model rationale assumes the patient can make their own medical decisions based on being alert, pleasant, and having intact judgment. However, evidence (chroma_id: '294_0_1') indicates the patient had a psychotic episode requiring inpatient psychiatric care and neuropsych testing showed significant cognitive impairment. This contradicts the assumption that the patient can make their own medical decisions without explicit confirmation.</t>
  </si>
  <si>
    <t>["294_0_1"]</t>
  </si>
  <si>
    <t>record date : 2094 - 08 - 24 bmh senior health initial visit cc : 79 yo man hx depression, psychosis, insomnia, cad, syncope, htn, dmt2, carotid stenosis, pvd, here for pcp and f / u of these and other chronic health problems hpi : patient recently presented to bmh with syncope s / p standing abruptly leading to left forhead lac. no seizure activity. he was brought to bmh where he indicated he had had 2 similar episodes in previous month. concern for cardiac orig1n given lack of posterior fossa signs, orthostasis at bmh, hx of seizure symptoms, and significant trauma. he ruled out for mi, had tte showing ef 59 % but had inf. wma and la dilation. cardiology was therefore consulted. an adenomibi stress test was later performed and revealed mild inf. lat reversible ischemia, therefore a lhcath was performed and showed moderate non - intervenable lesions in the rca and distal plv. the patient also underwent an ep study that was non - diagnostic. an implantable loop recorder was placed on 6 / 21. other work up of syncope included cnis showing mild rica stenosis ; neurology consult thought these findings were unlikely to be the cause of his syncope and agreed with continued evaluation of cardiac etiologies. in hospital, was noted that pt had had 40 lb weight loss over previous months. surgery was consulted regarding prompt need for intervention of a known hernia, their evaluation was that the hernia was benign without signs of obstruction and there was no need for inpatient intervention. endocrine w / u included nl tsh and cortstim. the patient had had a recent chest and abd ct and colonoscopy that had no evidence of pancreatic or colonic massess. spep and bnp wnl and ; his psa was elevated at 9. 56, however alk phos, bone survey, bone scan were all normal. the patient's nutrition and po intake improved greatly s / p treatment for constipation with an aggressive bowel regimen. just prior to d / c, after returning from an uncomplicated ep study the patient started to exhibit inappropriate behavior ( showing stool when not requested to staff ) and stating bizarre thoughts ( " i lost my mortal soul " ). psychiatry was consulted and
******************
suspected the patient was having a psychotic episode in setting of prolonged hospitalization and multiple diagnostic interventions. it was concluded that an inpatient geri - psych hospitalization was required. hospitalization done on psych floor. per psych eval, pt had been withdrawn and depressed for 8 months with poor sleep, anhedonia, and decreased energy. the pt believed that he had died some time ago and was currently in hell. he stated that he had been feeling that he had sinned so horribly, that god could not forgive him. he stated that he had died, and then further stated that by this he meant that though he might be physically alive, because he could not be forgiven, he was for all intents and purposes, spiritually dead. he had been having vivid dreams and had been told that he had exalted himself above god and for that would be punished. on the inpt ward, mr. shepherd was started on zyprexa 5 mg which was titrated up to a dose of 20 mg qhs. cymbalta was initiated and titrated up to 60mg qday with gradual and signficant improvement in his mood. the patient also expressed difficulty sleeping which responded to remeron 15mg. at the time of discharge, the patient reported good appetite, adequate sleep ( about 8 hours a night, occasional awakening with nocturia ), and significant improvement of his depression. he further noted that his thoughts of being doomed to hell were still occasionally present, though much less intense than upon admission, and he reported that he was able to challenge this belief " most of the time. neuropsych testing performed during inpt stay showing significant cognitive impairment. he had global deficits in language, memory, visual - spatial abilities, executive functioning, and attention. he had very poor learning of new information. pt was discharged to home with an intake appointment in the jones hospital psychiatry scheduled for the following day. he has since followed up with frances talley, where zyprexa dose slowly tapered to decrease grogginess. today, patient reports improved mood, no longer feels down, no longer feels guilty, as though in hell. has continued to taper down zyprexa to 3. 75mg qhs. saw dr. nobles on wednesday, felt that patient should continue to stay on low dose zyprexa for now. pt as fell has been tapering down cymbalta as well, taking it qod. reports some intermittent aches in right
******************
record date : 2094 - 12 - 02 cardiology baptist memorial hospital reason for visit : coronary artery disease, hypertension, hyperlipidemia, history of syncope interval history : mr. shepherd is a 79 year old man with coronary artery disease, hypertension, diabetes mellitus type 2, hyperlipidemia, carotid disease, and peripheral vascular disease who was admitted to the medicine service in june, 2094, for syncope and now returns for cardiology followup. to summarize, in june, the patient was admitted after experiencing several syncopal episodes. they were associated with a prodrome of lightheadedness and weakness that sometimes occurred with positional changes and at other times at rest. he denied associated chest pain, palpitations, diaphoresis, vertigo, focal neurologic weakness, dysphagia, diplopia or blurry vision occur during the episodes. these spells lasted about 4 - 5 minutes and there were no incontinence, post - ictal symptoms, or tonic - clonic movements. his workup included a surface echocardiogram that showed an ejection fraction of 59 % but with inferior wall motion abnormalities. a subsequent adenosine mibi showed mild inferolateral ischemia and a cardiac catheterization showed 40 % ostial rca disease and a 75 % lesion in a small diameter distal plv. the culprit lesion was felt to be non - intervenable and the patient was started on medical therapy. during his admission, his telemetry showed a twelve beat run of non - sustained ventricular tachycardia and so the electrophysiology service was called. he underwent an electrophysiology study which was nondiagnostic and a reveal monitor was implanted. prior to his discharge, the patient exhibited features of depression with psychotic features and he was ultimately transferred to the in - patient psychiatry unit for about four weeks. today, he presents with no acute complaints. he denies chest pain, dyspnea, or palpitations. he s had no further fainting spells and reports that his last reveal interrogation was unremarkable. his claudication is at his baseline. he walks at a mall for 30 minutes to 1 hour before he experiences a " tired " sensation in both legs. he is followed in the vascular clinic at the fhv medical center. also of note, he underwent a repair of a right inguinal hernia in
******************
october of 2094 by dr. small without complications. past medical history : coronary artery disease * status post cardiac catheterization showing 40 % ostial rca disease and distal plv disease * medical therapy, no intervention diabetes mellitus, type 2 hypertension hyperlipidemia benign prostatic hypertrophy right external carotid stenosis peripheral vascular disease with claudication * followed at fhv vascular clinic glaucoma ventral hernia allergies : no known allergies medications ( confirmed ) : asa 325mg po daily brimonidine 0. 2 % x 1 drop ou bid cardura 4mg po daily cymbalta 60mg po daily removed - lasix 20mg po daily lisinopril 40mg po daily miralax 17g po daily pletal 100mg po bid senna 2tabs po bedtime toprol xl 100mg po daily zocor 80mg po qpm zyprexa 3. 75mg po at bedtime family history : mom mi at age 63 ; grandson w / h / o sudden loc at age 16 with negative w / u by peds ; otherwise, no h / o sudden death. social history : retired archive manager who lives with wife ; has 6 children hrb : quit smoking 20 years ago 40 pack - yr smoking history ; no etoh ; no drugs review of systems : general : unremarkable skin : unremarkable heent : unremarkable respiratory : unremarkable cardiovascular : see above gastrointestinal : unremarkable genitourinary : nocturia endocrine : unremarkable musculoskeletal : unremarkable neurologic : unremarkable psychiatric : unremarkable physical examination : - bmi : 30. 2 obese, high risk - pulse : 56 regular - resp. rate : 100 % room air - height : 68 in. - weight : 198 lbs. - general : pleasant and in no distress - skin : unremarkable - heent : perrl eomi op clear - neck : bilateral carotid bruits ; jvp ~ 5 cm normal contours, no kussmaul's - chest : ctab no dullness - cardiac : left ventricular impulse discrete and nondisplaced. regular rate and rhythm, normal s1 and s2, with no s3 or s4. there were no murmurs, clicks or rubs. - abdomen : soft
******************
80mg tablet take 1 ) po qhs zyprexa ( olanzapine ) 5 mg ( 5mg tablet take 1 ) po qd, take 1 tab at bedtime allergies nka ros no back or abdominal pain geriatric ros yes no don't know memory intact? yes judgment intact? yes safety concerns? no nutritional concerns ( i. e. lost wt., eats poorly )? no continent of urine? no ambulation : independent bedbound? no falls prior to this hospitalization? no health maintenance pneumonia vaccine received? 2094 influenza vaccine received in last year? yes social born in bryan. raised in shirley, il. currently lives in shirley. married for 53 years with 6 children and 7 grandchildren. advance care planning hcp : wife, ernestine is primary proxy. alternative is daughter, teresa berry. code status : has not decided as of yet. o - alert, nad resp. - clear rrr gi - soft, no masses gu - indwelling cath, gross heme in urineext - no edema neuro - cogent, non - focal assessment / plan constipation - add miralx to discharge regimen urinary retention - relieved, await urology consult bph - per urology, op. this admission vs elective arf - due to obstruction, follow as relieved. disposition - home with services discussed with dr. davidson _ _ _ _ _ _ _ _ _ _ _ _ _ _ _ _ _ _ _ _ _ _ _ _ _ _ _ _ _ _ _ _ _ _ _ _ noah joseph, m. d. # 01220 for dr. judge / lugo
******************
90 tablet ( s ) allergies : nkda health maintenance : 1. pneumovax : has had in past 2. influenza vaccine : gets flu vaccine each year - got this year through fhv 3. colonoscopy : done in 2094 showing only mild sigmoid tics 4. pap test : n / a 5. mammograms : n / a 6. dex screening : never 7. dental : sees dentist dr. uecker every few years 8. opthalmologic : sees yearly through fhv functional status : 1. adls : independent 2. iadls : independent 3. mobility : independent hcp : wife, ernestine is primary proxy. alternative is daughter, teresa berry. pe : bp 112 / 58, p 60, rr 16, temp 96. 9 f, ht 70 in, wt 208 lb bmi 29. 9 gen : nad, ox3, alert, pleasant, normal affect, normal thought process and content, denies ah, vh, si. heent : perrl, jvp 8cm chest : cta b / l heart : rrr, normal s1 an s2 abd : obese, distended, soft, no organomegaly ext : no edema b / l, distal legs hairless, 1 + dp pulses b / l, venous stasis changes, no ulcers skin : no rashes, no lesions neuro : cn 2 - 12 intact. gait wnl impression / plan by issue : 1. urinary retention : s / p successful turp. on flomax / proscar. likely does not need proscar at this time per 3 / 27 urology note. will d / c.? need for flomax s / p turp given findings of weakness / runny eyes. will set up with dr. eastman for f / u. 2. depression : appears fairly euthymic. getting f / u thru dr. nobles and fhv. continue remeron. prn f / u with me if symptoms worsen - - have explained this to pt who agrees with plan. 3. psychosis : no evidence currenlty. on zyprexa, had been taking half of prescribed dose. dose not want further increase at this time. ok as w / o delusions / psychosis. 4. weakness : given low bp today,? relationship to low</t>
  </si>
  <si>
    <t>partially_complete, assumption, extraction_error</t>
  </si>
  <si>
    <t>the patient has psychotic episodes that is missed and the extracted reference is to a particular point when the patient was in a stable condition - but this may not be the case all the time.</t>
  </si>
  <si>
    <t>The patient's serum creatinine levels were reported as 1.1 mg/dL on 07/28/2099 and 1.0 mg/dL in September 2100, which are within the normal range. There is no indication in the notes that the creatinine levels have risen above the normal limit since then. Therefore, the patient does not meet the inclusion criterion of having a serum creatinine level above the upper normal limit.</t>
  </si>
  <si>
    <t>['prograf', 'prednisone', 'prilosec', 'imuran', 'toprol xl', 'lipitor', 'coumadin', 'asa', 'calcium supplement', 'multivitamin', 'fosamax', 'lantus insulin', 'humalog insulin']</t>
  </si>
  <si>
    <t>The model rationale correctly identifies that the patient's serum creatinine levels were 1.1 mg/dL on 07/28/2099 (chroma_id: 296_1_0) and 1.0 mg/dL in September 2100 (chroma_id: 296_3_0), both of which are within the normal range. General medical knowledge: Normal serum creatinine levels typically range from 0.6 to 1.2 mg/dL for adults. Therefore, the patient does not meet the criterion of having a serum creatinine level above the upper normal limit.</t>
  </si>
  <si>
    <t>["296_1_0", "296_3_0"]</t>
  </si>
  <si>
    <t>record date : 2099 - 08 - 10 follow - up visit - diabetes medications : humalog 0 - 2 / 4 - 8 / 6 - 8 111 - 64 - 17 lantus 15 u hs xayarath, nancy prograf 3 / 2 mg bid cellcept 500 mg bid prednisone 2. 5 mg qd starting last week nexium 20 mg qd lipitor 20 mg qd toprol xl 25 mg qpm coumadin 4 mg qd ( for svc stent ) asa 325 mg qd caltrate with d 1200 - 1500 mg per day in divided doses fosamax 70 mg qw calcium with d 500 mg qd should be bid - tid centrum qd reason for visit : diabetes f / u. still not hooked up with anti _ coag. had stress test recently : " blockages ". having another done at brighton. bg's everywhere. had 2 reactions one in am and one in pm. diet : b : toast, cheese, fruit l : soup and sandwich s : " regular meal " activity / exercise : monitoring : breakfast lunch supper hs pertinent labs : 07 / 28 / 2099 bun 18, cre 1. 1 07 / 28 / 2099 hgba1c 10. 00 ( h ) 05 / 11 / 2099 hgba1c 9. 30 ( h ) physical exam : - - assessment and plan : diabetes. widely varying bgs that would be best explained by more data and would benefit by better understanding of carbs and influence on sugar. discussed " 1500 " rule. she has correction factor of 50 - 60 and insulin to carb ratioj of 1 / 20 based on current total daily doses. could try to address humalog doses using this. try to keep record of food, bg and insulin. needs anti - coag appt which will be arranged today. follow - up : dr. townsend sept. _ _ _ _ _ _ _ _ _ _ _ _ _ _ _ _ _ _ _ _ _ _ _ _ _ _ _ _ _ _ _ _ _ _ _ _ _ _ _ _ _ _ pamela ybarra, rn, np, cde
******************
record date : 2100 - 02 - 17 february 17, 2100 lawrence townsend, m. d. 44 briggs st re : nancy xayarath anc unit # : 111 - 64 - 17 dear dr. townsend : i had the pleasure of seeing nancy xayarath today with regards to callus formation over the plantar aspect of her left foot. as you are aware, she is a 57 - year - old woman with a history of insulin - dependent diabetes mellitus and charcot arthropathy of her left foot that has resulted in a rocker bottom deformity. she currently wears accommodative orthotics typical for somebody with her deformity. she has noted that perhaps over the last two weeks or so that a callus has formed under the plantar lateral aspect of the left foot. she denies any drainage, erythema, or increased swelling or warmth in the foot. her orthotics were made in september and seem to be working quite well for her. she admits however that over the last month and half or so that she has been wearing boots that her current orthotics do not fit in. apparently, she has had to resort to her old orthotics, which did not take her charcot deformity into account. her past medical history is significant for diabetes mellitus and coronary artery disease. her medications include prograf, prednisone, prilosec, an aspirin a day, imdur, calcium supplement, a multi vitamin, lantus insulin, and humalog with meals. she takes imuran, coumadin, and toprol xl, as well as lipitor. her past surgical history is significant for colostomy in 2094, fistula repair in 2095, coronary artery bypass surgery times four in 2096, a kidney transplant in 2097, and a fistula ligation in 2098. she quit smoking ten years ago and has no known allergies to medications. physical examination is centered mainly around her left foot. she has diminished sensation to ten - point examination with a semmes - weinstein 5. 05 monofilament. she has multiple toe amputations, all of which have healed nicely. she does have a palpable dorsalis pedis pulse. the skin is of normal turgor. she has no active plantar ulcers on page two re : nancy xayarath date : february 17, 2100 either foot. at
******************
record date : 2100 - 07 - 07 humalog 0 - 2 / 4 - 8 / 6 - 10 111 - 64 - 17 lantus 10 u hs xayarath, nancy prograf 2 mg bid imuran 100 mg qhs prednisone 2. 5 mg qd starting last week omeprazole 20 mg qd lipitor 40 mg qd toprol xl 25 mg qpm imdur 30 mg qd coumadin 4 mg tablets ( for svc stent ) : 4 mg 2 / 7 ; 6 mg 5 / 7 asa 325 mg qd caltrate with d 1200 - 1500 mg per day in divided doses fosamax 70 mg qw centrum qd folate 1 mg qd not taking celexa 20 mg qd july 07, 2100 interim history : comes to review her medical problems. she had been losing weight and feeling fatigued. she has been at her current weight for several weeks and feels that she has stabilized. appetite has been good. home blood tests : no records. she reports that she drops from the 200's to the normal range in the morning. her bedtime test is about 3 - 4 hours after summer. retinopathy : saw dr. xiques in the spring. may need laser for p - cataract film. retinas stable. nephropathy : cr 1. 0 in september. saw dr. caldwell re her charcot foot. he put her in a boot and wheelchair for 3 weeks and it resolved well. cardiac : gets little tingling sensations in her anterior chest, occurring at any times. not specifically at times of physical exercise. vascular : no claudication past medical history : medications : prograf reduced. review of systems : gi : feels that her abdomen is uncomfortable much of the time. not precipitated or relieved by food. upper and lower abdominal. no change in volume or nature of ileostomy output. she has dysphagia for liquids, sometimes with regurgitation. had pap and mammogram through anc gynecologist. she saw dr. wilhelm for sinus problems. he got an mri. it showed a meningioma of the jugular foramen. dr. wilhelm's note indicated that she would see dr. new for that and indeed she has seen dr. new, although she says it is for a tumor on the vocal cord. he also wanted her to see dr. carter about a vocal cord paralysis, and
******************
that visit is upcoming. physical exam : looks well. bp : 118 / 70 p : 72, regular wt : 118. 5 without shoes, down 8. 5 heent : anicteric. carotids : normal pulses, without bruits chest : clear to auscultation heart : dyskinetic prominent apical impulse. normal s1 ; single s2. s4. 2 / 6 systolic ejection murmur abdomen : no hepatosplenomegaly. no masses. small epigastric hernia with mild tenderness in that area. ileostomy. no palpable aaa. extremities : no edema. dp 2 +, =. pt absent. prominent mound of tissue in the plantar aspect of l foot, from charcot changes, but with very normal skin covering. good foot care. impressions and plan : many active issues. hard to assess control without data. must bring them to visits. for now, reduce the lantus to 8 u since she drops overnight by history. will need to talk with dr. wilhelm and dr. new about their respective perspectives and figure out who is addressing the meningioma and hydrocephalus. may need to see a neurologist. refer to dr. sanders for evaluation of her gastrointestinal discomfort and dysphagia for liquids. i suspect a motility disorder. she needs follow - up with dr. arndt. 1 hour ; most counseling and coordination of care. a1c, electrolytes, bun / creatinine, cbc, anti - gliadin antibodies, anti - transglutaminase antibodies, tsh. appointments : 1 month cc : transplant clinic fredrich van butler, m. d. nicole arndt, m. d. lawrence wilhelm, m. d., minnie hamilton health care center, 727 seneca drive, suite 9b, red springs, wa 77286 nicholas new, m. d., bkmc ophelia sanders, m. d. lawrence k. townsend, m. d., ph. d.
******************
##osine stress test ( 8 / 04 / 01 ) : fixed posterior, lateral and inferior defects without ischemia allergies : erythromycin &amp; # 224 ; unknown. vancomcyin &amp; # 224 ; rash medications on admission : prograf 2 mg qam and 1mg qpm, asa 81 mg qd, folate 400 mcg qd, prilosec 40 mg qd, imdur 30 mg qd, fludrocortisone. 05 mg qd, imuran 100 mg qpm, toprol xl 25 mg qpm, lipitor 40 mg qpm, celexa 20 mg qpm, coumadin 4 mg qpm, mvi qd, calcium + vit d 600 mg qd,, fosamax 70 mg qweek, lantus insulin 5 units qpm, humalog insulin 1 - 10 units ( scale ) w / meals and snacks sh : married. former it specialist, now on disability. 70 ppy smoking history, quit 2090. physical exam vitals : t : 96. 8 hr : 74 bp : 90 / 53 rr : 20 sao2 : 96. 8 gen &amp; # 8217 ; l nad, pleasant heent mmm, no scleral icterus, no pale conjunctiva neck supple, no thyromegaly, no lad. jvp &amp; lt ; 5 cm heart : regular, normal s1 s2 ; 3 / 6 systolic murmur lung : cta bilaterally abd : soft, non - tender, non - distended, + bs. osteomy site is c / d / i ext : wwp, good distal pulses. mild swelling over left prepatellar bursa with erythema. no fluctuant mass ; erythema over left lateral shin. full rom of left knee. neuro : alert, orientedx3. cn ii - xii grossly intact ; unable to fully flex first 3 digits of hands bilaterally. decreased sensation on anterior left shift. motor 5 / 5 b ue / le labs na 135 k 5. 2 cl 103 co2 24. 6 bun 18 cre 1. 3 glu 374 ca 10. 1 phos 3. 7 mg 1. 6 ck - mb negative negative trop - i negative negative tacro 9 - wbc 7. 8 ( n70l14m7e8b1 ) hct 33. 8 ( mcv = 90 )
******************
transplant recommendations. slightly high k this am, likely due to missed insulin. will monitor for now. cv : complete rule out ; keep on telemetry for now given hyperkalemia and ekg changes ; continue home regiment gi : continue omeprazole, will make outpatient gi aware diabetes : continue outpatient regiment of lantus + insulin ss with meals. will check blood sugars ac + 10 pm + 2 am per endocrine psych : will hold celexa while patient on linezolid given risk of serotonin syndrome f / e / n : diabetic diet ppx : warfarin, omperazole code status : presumed full _ _ _ _ _ _ _ _ _ _ _ _ _ _ _ _ _ _ _ _ _ _ _ _ _ _ _ _ _ _ _ _ _ _ barry r. lockhart, md phd keely institute - pgy - 1 pager # 45374</t>
  </si>
  <si>
    <t>misses mention of 1.3, which is high for women</t>
  </si>
  <si>
    <t>The patient's most recent HbA1c value is 10.00%, which is above the upper limit of the inclusion criterion (9.5%). Therefore, the patient does not meet the criterion for HbA1c levels.</t>
  </si>
  <si>
    <t>['prograf', 'asa', 'folate', 'prilosec', 'imdur', 'fludrocortisone', 'imuran', 'toprol xl', 'lipitor', 'celexa', 'coumadin', 'mvi', 'calcium + vit d', 'fosamax', 'lantus insulin', 'humalog insulin']</t>
  </si>
  <si>
    <t>The model rationale correctly identifies that the patient's most recent HbA1c value is 10.00%, which is above the upper limit of the inclusion criterion (9.5%). This is supported by the evidence from chroma_id '296_1_0', which states the HbA1c value as 10.00% on 07/28/2099. Therefore, the rationale is logically complete and aligns with the criterion definition.</t>
  </si>
  <si>
    <t>["296_1_0"]</t>
  </si>
  <si>
    <t>record date : 2099 - 08 - 10 follow - up visit - diabetes medications : humalog 0 - 2 / 4 - 8 / 6 - 8 111 - 64 - 17 lantus 15 u hs xayarath, nancy prograf 3 / 2 mg bid cellcept 500 mg bid prednisone 2. 5 mg qd starting last week nexium 20 mg qd lipitor 20 mg qd toprol xl 25 mg qpm coumadin 4 mg qd ( for svc stent ) asa 325 mg qd caltrate with d 1200 - 1500 mg per day in divided doses fosamax 70 mg qw calcium with d 500 mg qd should be bid - tid centrum qd reason for visit : diabetes f / u. still not hooked up with anti _ coag. had stress test recently : " blockages ". having another done at brighton. bg's everywhere. had 2 reactions one in am and one in pm. diet : b : toast, cheese, fruit l : soup and sandwich s : " regular meal " activity / exercise : monitoring : breakfast lunch supper hs pertinent labs : 07 / 28 / 2099 bun 18, cre 1. 1 07 / 28 / 2099 hgba1c 10. 00 ( h ) 05 / 11 / 2099 hgba1c 9. 30 ( h ) physical exam : - - assessment and plan : diabetes. widely varying bgs that would be best explained by more data and would benefit by better understanding of carbs and influence on sugar. discussed " 1500 " rule. she has correction factor of 50 - 60 and insulin to carb ratioj of 1 / 20 based on current total daily doses. could try to address humalog doses using this. try to keep record of food, bg and insulin. needs anti - coag appt which will be arranged today. follow - up : dr. townsend sept. _ _ _ _ _ _ _ _ _ _ _ _ _ _ _ _ _ _ _ _ _ _ _ _ _ _ _ _ _ _ _ _ _ _ _ _ _ _ _ _ _ _ pamela ybarra, rn, np, cde
******************
that visit is upcoming. physical exam : looks well. bp : 118 / 70 p : 72, regular wt : 118. 5 without shoes, down 8. 5 heent : anicteric. carotids : normal pulses, without bruits chest : clear to auscultation heart : dyskinetic prominent apical impulse. normal s1 ; single s2. s4. 2 / 6 systolic ejection murmur abdomen : no hepatosplenomegaly. no masses. small epigastric hernia with mild tenderness in that area. ileostomy. no palpable aaa. extremities : no edema. dp 2 +, =. pt absent. prominent mound of tissue in the plantar aspect of l foot, from charcot changes, but with very normal skin covering. good foot care. impressions and plan : many active issues. hard to assess control without data. must bring them to visits. for now, reduce the lantus to 8 u since she drops overnight by history. will need to talk with dr. wilhelm and dr. new about their respective perspectives and figure out who is addressing the meningioma and hydrocephalus. may need to see a neurologist. refer to dr. sanders for evaluation of her gastrointestinal discomfort and dysphagia for liquids. i suspect a motility disorder. she needs follow - up with dr. arndt. 1 hour ; most counseling and coordination of care. a1c, electrolytes, bun / creatinine, cbc, anti - gliadin antibodies, anti - transglutaminase antibodies, tsh. appointments : 1 month cc : transplant clinic fredrich van butler, m. d. nicole arndt, m. d. lawrence wilhelm, m. d., minnie hamilton health care center, 727 seneca drive, suite 9b, red springs, wa 77286 nicholas new, m. d., bkmc ophelia sanders, m. d. lawrence k. townsend, m. d., ph. d.
******************
record date : 2102 - 12 - 21 sections of this note were created with a'copy and paste'action. these sections may not have copied completely. please use caution when rendering clinical judgment based on the information in this note. keely institute admission note patient : xayarath, nancy mrn : 1116417 admit date : december 21, 2102 attending : townsend, lawrence pcp / endocrinologist : townsend, lawrence cadiologist : xanthos, priscilla gasteroenterologist : sanders, olivia family contact : husband - xayarath, keegan ; home : ( 779 ) 226 - 7473 code status : presumed full source : medical records cc : swollen left knee hpi : the patient is a 60 year old female with a history of renal transplant, cad s / p cabg, diabetes who present with with abrasion and swelling of her left knee. patient was well until december 12th when she slipped on ice and fell on her left knee. patient initially noted an abrasion and some ecchymosis around the knee joint and been weight bearing without difficultly. patient reports frequent falls at home due to her neuropathy but is ambulatory without assist. on december 19th, she noted some erythema around the knee joint and the lateral aspect of her shin and started developing pain and swelling that slightly limited her range of motion. she also noted some knee stiffness. denies any drainage from injury site. patient did speak to the np at her pcps office and was advised to be evaluated in the ed. ed course : on arrival, the patient &amp; # 8217 ; s vitals were : 99. 2 80 109 / 66 97 % / ra. per report, a tap of the left knee was attempted but no fluid could be aspirated. blood cultures yielded gpc in pairs in &amp; # 189 ; bottles. patient was started on vancomycin and developed an itchy rash at the infusion site ( right arm ). patient was switched to linezolid per discussion with transplant id. of note, she had new lateral v5 - 6 twi but cardiac enzymes have been negative x2. ros : missed last night &amp; # 8217 ; s dose of lantus. + subjective fever, some nausea. gets short of breath with exertion ( stable ). some blood mucus in osteomy last week. snores at night and wakes up from some sleep. intermittent blurry vision ( stable ). denies hitting her head
******************
##osine stress test ( 8 / 04 / 01 ) : fixed posterior, lateral and inferior defects without ischemia allergies : erythromycin &amp; # 224 ; unknown. vancomcyin &amp; # 224 ; rash medications on admission : prograf 2 mg qam and 1mg qpm, asa 81 mg qd, folate 400 mcg qd, prilosec 40 mg qd, imdur 30 mg qd, fludrocortisone. 05 mg qd, imuran 100 mg qpm, toprol xl 25 mg qpm, lipitor 40 mg qpm, celexa 20 mg qpm, coumadin 4 mg qpm, mvi qd, calcium + vit d 600 mg qd,, fosamax 70 mg qweek, lantus insulin 5 units qpm, humalog insulin 1 - 10 units ( scale ) w / meals and snacks sh : married. former it specialist, now on disability. 70 ppy smoking history, quit 2090. physical exam vitals : t : 96. 8 hr : 74 bp : 90 / 53 rr : 20 sao2 : 96. 8 gen &amp; # 8217 ; l nad, pleasant heent mmm, no scleral icterus, no pale conjunctiva neck supple, no thyromegaly, no lad. jvp &amp; lt ; 5 cm heart : regular, normal s1 s2 ; 3 / 6 systolic murmur lung : cta bilaterally abd : soft, non - tender, non - distended, + bs. osteomy site is c / d / i ext : wwp, good distal pulses. mild swelling over left prepatellar bursa with erythema. no fluctuant mass ; erythema over left lateral shin. full rom of left knee. neuro : alert, orientedx3. cn ii - xii grossly intact ; unable to fully flex first 3 digits of hands bilaterally. decreased sensation on anterior left shift. motor 5 / 5 b ue / le labs na 135 k 5. 2 cl 103 co2 24. 6 bun 18 cre 1. 3 glu 374 ca 10. 1 phos 3. 7 mg 1. 6 ck - mb negative negative trop - i negative negative tacro 9 - wbc 7. 8 ( n70l14m7e8b1 ) hct 33. 8 ( mcv = 90 )
******************
plt 246 pt 26. 8 pt - inr 2. 7 ptt 30. 9 micro : ua : bact few, wbc 0 - 2, rbc 0 - 2 ucx ( 12 / 21 / 02 ) : pending bcx ( 12 / 21 / 02 ) : gpc in pairs bcx ( 12 / 21 / 02 ) : ntd &amp; lt ; 24 hours - bcx ( 11 / 28 / 96 ) : mr - cns bcx ( 11 / 28 / 96 ) : c. perfringens bcx ( 11 / 27 / 96 ) : ms - cns bcx ( 11 / 01 / 94 ) : mr - cns bcx ( 10 / 17 / 94 ) : mssa bcx ( 10 / 17 / 94 ) : mssa bcx ( 08 / 30 / 94 ) : mr - cns bcx ( 08 / 30 / 94 ) : mr - cns ucx ( 06 / 01 / 99 ) : &amp; lt ; 100k pan - s e. coli ucx ( 05 / 31 / 99 ) : &amp; gt ; 100k pan - s e. coli left knee ( 12 / 20 / 2102 22 : 58 ) : there is no joint effusion. there are no fractures or dislocations identified. there are scattered vascular calcification seen. assessment &amp; amp ; plan : the patient is a 60 year old female with a history of renal transplant, cad s / p cabg, diabetes who present with with abrasion and swelling of her left knee. positive blood culture may be contamination but given patient &amp; # 8217 ; s comorbidities, will proceed with course of antibiotics. blood cultures are growing gpc in pairs and patient has history of mr - cns and patient had rash with vancomycin so will keep on linezolid for now. patient does have history of mr and? endocarditis but will hold off on echo given patient is afebrile and hemodynamically stable. if surveillance blood cultures continue to be positive, will consider adding gentamycin and checking echo. cellulitis : linezolid x 14 days ( 12 / 21 - 1 / 03 ) ; f / u blood cultures ; check surveillance blood cultures ; picc c / s after blood cx negative x48 hours. f / u id recs. pt / ot consult. renal / lytes : continue tacrolimus and check daily levels per transplant. f / u
******************
transplant recommendations. slightly high k this am, likely due to missed insulin. will monitor for now. cv : complete rule out ; keep on telemetry for now given hyperkalemia and ekg changes ; continue home regiment gi : continue omeprazole, will make outpatient gi aware diabetes : continue outpatient regiment of lantus + insulin ss with meals. will check blood sugars ac + 10 pm + 2 am per endocrine psych : will hold celexa while patient on linezolid given risk of serotonin syndrome f / e / n : diabetic diet ppx : warfarin, omperazole code status : presumed full _ _ _ _ _ _ _ _ _ _ _ _ _ _ _ _ _ _ _ _ _ _ _ _ _ _ _ _ _ _ _ _ _ _ barry r. lockhart, md phd keely institute - pgy - 1 pager # 45374</t>
  </si>
  <si>
    <t>there are two a1c vaues 9.3 and 10 on two dates, they are both marked high; assumping 6.5 - 9.5 is targeted to recall patients with high a1c; this pt may satisfy the criteria. but strictly speaking, they do not.</t>
  </si>
  <si>
    <t>The clinical notes indicate that the patient's daughter was translating during the visit, which suggests that the patient may not be fluent in English. However, the inclusion criterion assumes that unless explicitly noted otherwise, the patient speaks English. Since there is no explicit mention of the patient's language proficiency, we will assume she meets the criterion.</t>
  </si>
  <si>
    <t>['aspirin', 'colace', 'cozaar', 'flonase', 'fosamax', 'hydrochlorothiazide', 'lopid', 'meclizine p. r. n.', 'protonix', 'prozac', 'vioxx', 'nifedipine extended release', 'insulin/70/30']</t>
  </si>
  <si>
    <t>The model's rationale assumes the patient speaks English because there is no explicit mention of language proficiency, despite the fact that the patient's daughter was translating during the visit (evidence from chroma_id '309_4_0'). This reliance on assumption fits the 'assumption' category.</t>
  </si>
  <si>
    <t>["309_4_0"]</t>
  </si>
  <si>
    <t>record date : 2092 - 04 - 21 name : wilson, gabriel mrn : 8514931 follow - up visit chief complaint : follow - up hypertension and diabetes. currently on cozaar 50 mg 2 tablets in the morning and atenolol 25 mg in the morning. she is taking her medication regularly. over the past 2 weeks has had uri symptoms with nasal congestion, low grade fevers, and cough. the cough is minimally productive. she does have mild myalgias but no nausea, vomiting, diarrhea. symptoms are resolving spontaneously. on exam : blood pressure 150 / 98. pharynx without lesions. no cervical adenopathy. lungs : clear without wheezes, rhonchi or rales. cardiac exam : regular rate and rhythm ; normal s1 and s2. heart rate 60. no diastolic murmur or gallop. no peripheral edema. a / p : 1. hypertension and diabetes with poor hypertensive control. will add hydrochlorothiazide 12. 5 mg p. o. q. a. m. to follow up in 2 weeks. 2. viral uri, resolving spontaneously. follow - up for any worsening. julie fraser, m. d. jf / crane / knox
******************
record date : 2092 - 12 - 15 name : wilson, gabriel mrn : 8514931 the patient is a 71 - year - old woman who comes in for follow up. she has been having symptoms of ataxia which are difficult to understand in the sense that i cannot get a clear history of her symptoms. at times she reports that she feels dizzy as if she might fall over to her right side. there is no associated vertigo, dysarthria or other symptoms. she has not actually had syncope. there is no positional component to her symptoms. i had scheduled her for an mra / mri to evaluate those symptoms. the mri does show some small microvascular changes in the coronal radiata, centrum ovale and bilateral pontine region. she had small chronic lacunar infarcts. she reports that she falls to the right, but the stroke seemed to be more on the right brain which would not necessarily correlate with her symptoms. she had some left internal carotid mild 30 % proximal stenosis. her vertebral arteries were patent with anti - grade flow. physical exam : small lacunar infarcts. most likely related to hypertension rather than embolic disease. her blood pressure has been very well controlled. in fact, today on exam, her blood pressure was 100 / 60. she brought her medications with her and has been taking atenolol 50 mg p. o. q. d., cozaar 50 mg 1 tab twice a day and hydrochlorothiazide 12. 5 mg p. o. q. d. she had not taken her medications today and her blood pressure here when i repeated it was 110 / 70 in the right arm and 120 / 70 in the left. her neck is supple without jvd or bruits. her lungs are clear without wheezes, rales or rhonchi. her cardiac exam shows a regular rate and rhythm, normal s1, s2. assessment and plan : history of hypertension. now with lower blood pressure and some lightheadedness. we will d / c her atenolol. i would like her to get a repeat blood pressure in one week. i discussed her mri / mra findings with her. long term we will need to continue to try and optimize her cholesterol levels and her diabetes. she will follow up in one week for a repeat blood pressure. julie fraser, m. d.
******************
record date : 2093 - 10 - 18 name : wilson, gabriel mrn : 8514931 history of present illness : gabriel wilson is a 72 - year - old croatian female, referred by dr. fraser for evaluation of complaints of dizziness. her daughter, who is a library manager here, accompanies her mother today. apparently, for many years, perhaps as many as five, her mother has complained of " feeling pulled " when she walks. this never occurs when lying down or sitting. it is only when she is walking that she feels she is being pulled, either to the right, left, forward or backward. at times, she does visibly veer when she walks. she has had one fall a number of months ago when she broke her wrist. she has not had any subsequent falls. there is no associated true spinning vertigo, no associated visual change, numbness, weakness, change in gait, change in speech and no headache. she actually feels that over the past few weeks, it has been a little better, though prior to that, it was a little more severe. unable to associate this with any clear intervention. unaware of any precipitating or alleviating symptoms. review of other systems notable for general fatigue. otherwise unremarkable. no chest pain, shortness of breath or abdominal pain. past medical history : hepatitis b, diabetes, hypertension, ge reflux, hyperlipidemia, depression, cataracts. medications : aspirin, colace, cozaar, flonase, fosamax, hydrochlorothiazide, lopid, meclizine p. r. n., protonix, prozac, vioxx. family history : negative for neurologic disease. social history : she is widowed and lives with her niece. she neither drinks nor smokes. physical examination : on exam, she is a pleasant, quiet, soft - spoken, 72 - year - old female. bp 140 / 84. cranial nerves ii through xii intact to detailed exam, except for decreased hearing on the left. on motor exam, no rigidity, no drift. good power throughout upper and lower extremities. she does, however, seem mildly bradykinetic diffusely. finger tapping was slow bilaterally and symmetric. amplitude is normal for finger tapping. power in the lower extremities 5 / 5. sensory exam with mild vibratory loss in the toes. finger - to - nose testing intact
******************
record date : 2094 - 05 - 08 name : wilson, gabriel mrn : 8514931 the patient is a 73 - year - old woman with a history of diabetes, hypertension, hyperlipidemia and multiple other medical problems. she has a history of tias and was seeing the neurologist today for follow up. she has not had recent tia symptoms but related a history of exertional chest pain and was sent up here for evaluation. griggs was translating and the patient reports that over the past two months she has been getting chest pain and pressure with some shortness of breath after she walks about one block. the symptom is a pressure symptom which radiates to both sides of her chest. it is not severe, sharp chest pain. it does not radiate to her back. there is no associated rest pain or nocturnal pain. no pnd, orthopnea or edema. the last time she had the pain was two weeks ago. she has a history of tias and our goal was to keep her blood pressure in the 140 - 160 range since they may be due to a low flow state due to her vertebrobasilar disease. she is on aspirin and plavix. she had a negative sestamibi ett in 2087 except she had a very low work capacity. she has not had a recent stress test. physical exam : she is a very pleasant woman in no acute distress. her blood pressure is 160 / 70. neck supple without jvd or bruits. lungs clear without wheezes, rales or rhonchi. cardiac : rate regularly regular, normal s1, s2, no diastolic murmur or gallop. abdomen soft, nontender without hepatosplenomegaly. no edema. her ekg shows normal sinus rhythm. assessment and plan : patient with multiple cardiac risk factors and a story which sounds convincing for exertional angina. she has not had any symptoms in over two weeks. will add low - dose lopressor 12. 5 mg p. o. b. i. d. she should stop it if she feels lightheaded on the medication. she should increase the aspirin to 325 q. d. we will schedule her for a sestamibi ett. she will follow - up in one week. julie fraser, m. d. jf / crane / powell
******************
record date : 2097 - 06 - 28 visit note patient name : wilson, gabriel mrn : 8514931 dictated date : 06 / 29 / 2097 dictated by : julie fraser, m. d. date of visit : 06 / 28 / 2097 patient is a 76 - year - old croatian woman who came in today. her daughter gibbs was translating. she is a very complicated 76 - year - old croatian woman with a history of diabetes, hypertension, vertebral basilar insufficiency, chronic hepatitis b and other medical problems. she is status post a right bell's palsy in the past. recently she has been sometimes living at her daughter's house and other times at her niece's house. they are trying to provide more support in terms of regulating that she takes her medication. when she stays at her daughter's gibbs's house her daughter does check her sugars though her niece does not. her blood pressure has been very labile recently and we recently added hydrochlorothiazide and nifedipine extended release 30 mg every day to her regimen in addition to her regular cozaar and toprol. her daughter also has increased her insulin / 70 / 30 to 48 units in the morning. she thinks that sometimes in the afternoon or late afternoon she may have some low sugars. she reports that her mother feels dizzy and has difficulty moving her left leg if her sugar gets low. she feels better if she is given orange juice or something to eat. she has had similar symptoms to that with low sugars in the past however when the daughter checks her sugars they are all in the 174 to 225 range. she has occasional sugars before bedtime that are 337 and 249. the lowest sugar she had was 88 before dinner. the patient reports that she feels dizzy at times. she is a very difficult historian even with her daughter translating or with the other interpreters translating. she has not been having any chest pain or palpitations. her dizziness is not related to standing up or lying down. no syncope, slurred speech, spinning dizziness, diplopia, or focal arm or leg weakness or numbness. of note the chest pain she had complained about on the last visit when her daughter had noted she was cleaning has resolved. her cardiac stress test from june 2094 showed an exercise capacity of 4 mets, ekg nondiagnostic due to submaximal heart rate response. no evidence for ischemia on the
******************
perfusion images. from march 2095 her vascular lab studies showed normal distal vertebral arteries and basilar arteries throughout its length. she also had carotid studies march 2095 that showed minimal disease of the right and left carotid. her prior mri from 07 / 95 showed chronic lacunar infarcts but no acute hemorrhage or infarct. the patient has had chronic slow speech and there is question about whether or not she has dementia. her daughter is giving her the aricept though it is not clear if this is benefiting her or not. sometimes her daughter thinks that she is actually just being stubborn or uncooperative rather than having difficulties with her memory though other times it seems as if she she does have some dementia. she also has been followed in glancy memorial hospital. on exam she is in no acute distress. blood pressure 124 / 60. neck : supple without jvd or bruits. lungs : clear without wheezes, rales, or rhonchi. cardiac : rate regularly regular, normal s1, s2 without s3, s4, or murmurs. abdomen : soft, nontender. no cce. she has chronic right facial weakness consistent with her known bell's palsy. cranial nerves 2 through 12 otherwise intact though vision was not assessed. motor 5 / 5. reflexes 1 +, absent ankle jerks, downgoing toes. gait is slightly wide based which is consistent with the prior note from dr. hope kincaid. sensation intact to light touch. distal pulses intact. 1. hypertension which is much better controlled on current regimen. continue same. check chem - 7. type 2 diabetes. her daughter attributes some of her lightheadedness to hypoglycemia but the documented sugars are not at all low. ideally we would correlate her symptoms with a fingerstick sugar. lightheadedness and dizziness. we are going to check a chem - 7 and then repeat an mri / mra of her head and neck. she should follow up in neurology and also with her counselor. she will follow up with me in a few weeks after the mri / mra. _ _ _ _ _ _ _ _ _ _ _ _ _ _ _ _ _ _ _ _ _ _ _ _ _ _ _ julie fraser, m. d. cc : td : 07 / 01 / 2097 04 : 10 : 11 tr : 9745226</t>
  </si>
  <si>
    <t>if the daughter is translating, this is strong indication that patient can't speak english</t>
  </si>
  <si>
    <t>The clinical note indicates that the patient consumes alcohol at a rate of 1-2 beers daily. This amount exceeds the recommended limits for alcohol consumption, which is typically defined as more than 7 drinks per week for women. Therefore, the patient meets the criterion for current alcohol use over weekly recommended limits.</t>
  </si>
  <si>
    <t>['idopidogrel 75 mg', 'gabapentin 100 mg', 'metoclopramide hcl 10 mg', 'mirtazapine 30 mg', 'multivitamin with folic acid', 'novolog (insulin aspart)', 'omeprazole 20 mg', 'toprol xl (metoprolol succinate extended release) 100 mg']</t>
  </si>
  <si>
    <t>The model rationale incorrectly states that the patient consumes alcohol at a rate of 1-2 beers daily, which exceeds the recommended limits for women. However, the evidence (rank 1, chroma_id: '314_2_0') indicates that the patient consumes 1-2 beers daily, which is within the recommended limit of 7 drinks per week for women. Therefore, the rationale relies on incorrect facts about the patient's alcohol consumption.</t>
  </si>
  <si>
    <t>["314_2_0"]</t>
  </si>
  <si>
    <t>_ _ _ _ _ _ _ _ _ _ _ james patel, mbbs, phd escription document : 8 - 6022994 tffocus cc : rose samuel isaac - ly m. d. internal medicine 20 tamworth place galena, mn 64864 dd : 09 / 21 / 92 dt : 09 / 21 / 92 dv : 09 / 21 / 92 * * * * * * * * not reviewed by attending physician * * * * * * * *
******************
record date : 2093 - 11 - 24 history of present illness asked by dr. trujillo to comment on diabetes management for this patient. hx from chart as pt is dutch speaking only. mrs. trent is a pleasant 69 y / o woman with type 2 dm insulin treated. she has acknowledged difficulty following her regimen, per notes should be taking insulin bid but only takes it in am - prescribed dose nph 30 in am and 8 at hs. reports bg at home near 150. she is s / p l sfa and doing well from that standopoint, however developed n &amp; v today and required ng tube placement, now better but remaoins npo. she has been on nph 30 in am and bg's have been 126 - low 200's. past medical history hypertension hyperlipidemia pvd - s / p r fem pop pud / gerd kidney stones lung cancer - lobectomy medications text significant meds : zocor ; lisinopril ; pspcid ; lopresor ; hydralazine ; pavix ; reglan currently on d5 1 / 2ns at 100 ml / hr family history nc social history smoking none etoh 1 - 2 beers daily other widowed recently review of systems na physical exam vs 98. 4 ; 126 / 58 ; 94 % sat on ra ; 72 general appearance well / post op heent mm moist, sclera anicteric neck no thyromgally, trachea midline chest resp unlabored cor / cardiac rrr edema : none abdomen soft extremity skin intact, no deformity musc skel nl build, no joint deformity neurological a / o sensory exam : diminished to touch skin intact no acanthosis nigracans laboratory data a1c : pend creat : 0. 7 assessment type 2 dm - uncontrolled in the post operative period requring iv insulin for control. complicated by pvd, neuropathy, retinopathy and nephropathy. glycemic control in the post operative period is essential to good wound healing and minimizing risk of infections. our target is to maintain bg under 150. recommendation - while npo please use 1 / 2 day time nph but her usual prescribed bed time dose - for now 15 nph in am and 8 at hs - once eating can resume usual doses, may need addition of rapid action insulin with meals as well thank
******************
you, please page internal medicine # 42721 with any questions. wendy kiefer md
******************
to have vasculopathic changes / lacunes in the brain seen as hypodensities on the ct today, all appearing old. she does not have any right facial weakness, no dysarthria, no aphasia, no flaccidity / spasticity, no gaze preference. while stroke can not be ruled out, her exam does not clearly suggest a typical stroke syndrome. ddx includes seizure, infection or metabolic abnormality causing unmasking of stroke - like symptoms, migraine phenomena superimposed on current medical / metabolic abnormalities. recommendations : 1. mri / mra of the head and neck ( stroke protocol ), as well as mri of c - spine given ue symptoms 2. we currently recommend admission to medicine given multiple medical issues ( severe htn, sob as yet unexplained, n / v, hyperglycemia ). 3. bp control : labetolol to maintain bp less than 200 systolic ; avoid large / rapid shifts to maintain cerebral perfusion pressure. would allow some degree of hypertension ( max 200 sbp ) until stroke protocol mri / mra obtained. 4. glycemic control - need to clarify home insulin regimen 5. resend cardiac markers in setting of tachycardia to 150s 6. f / u pe protocol ct ( done in ed ). 7. patient will be followed by the neurology consult service. this case was discussed with dr. james rosado md, senior neurology resident. _ _ _ _ _ _ _ _ _ _ _ _ _ _ _ _ _ _ _ _ _ _ _ _ _ _ _ _ _ _ _ _ alex waters, md resident in neurology pager # 45445
******************
##idogrel 75 mg ( 75mg tablet take 1 ) po qd gabapentin 100 mg ( 100mg capsule take 1 ) po qhs metoclopramide hcl 10 mg ( 10mg tablet take 1 ) po ac mirtazapine 30 mg ( 30mg tablet take 1 ) po qhs multivitamin with folic acid ( multivitamins ) 1 tab po qd x 60 days novolog ( insulin aspart ) sc qam, qpm and ss omeprazole 20 mg ( 20mg capsule dr take 1 ) po qd toprol xl ( metoprolol succinate extended release ) 100 mg ( 100mg tab. sr 24h take 1 ) po qd allergies nka social history mrs. trent is originally from suriname. she is widowed, with six living children. a son died at age 42 in august, 2095. mrs. trent has a remote history of smoking. she does not consume alcohol. she has recently spent much of her time watching television ( like soap operas in dutch ) and participating in group activities ( such as bingo ) at the home. review of systems negative for chest pain, shortness of breath, visual changes, weakness, numbness, burning pain, paresthesias, difficulties speaking or understanding others, nausea, vomiting, diarrhea, pain or burning on urination. positive for frequent nighttime awakening. appetite has been " o. k. " exam blood pressure 128 / 58 heart rate 76 neck : no carotid bruits lungs : cta bilaterally heart : regular rate and rhythm, ii / vi systolic ejection murmur abd : soft, nontender, nondistended, bowel sounds present ext : no edema ms : alert, pleasant, cooperative, good eye contact. fatigued, mildly depressed looking affect. oriented to " lcc " in " galena, " " march 2095. " speech fluent in dutch. followed 2 - step verbal commands with left hand. recalled recent events from soap opera episodes in detail. cn : pupils 4mm, round, lr to 2mm. eomi. mild right umn facial weakness. palate elevation symmetrical and tongue protrusion midline. motor : increased tone with clasp knife phenomenon right arm and leg. minimal movement of right arm ( elbow flexion, index finger extension, finger flexion ) and right foot ( knee flexion, ankle flexion, toe extension ). 5 / 5 strength in pro
******************
##tazapine for antidepressant therapy given mrs. trent's poor appetite and impaired sleep. after her gabapentin has been appropriately titrated, one may consider increasing mirtazapine to 45 mg hs. 5. mrs. trent will be scheduled for follow up in approximately 6 months. it is a pleasure to participate in the care of mrs. trent with you. greater than 50 % of this 60 minute follow up visit was spent counseling regarding the above issues. please do not hesitate to contact me with questions. sincerely, _ _ _ _ _ _ _ _ _ _ _ _ _ _ _ _ _ _ _ _ _ _ _ _ _ _ _ _ _ _ james rosado, m. d. neurology lenox care center cc : ms. carey trent 45 hoyts lane, qpt. 0 galena, mn 64864</t>
  </si>
  <si>
    <t xml:space="preserve">depending on what recommended limits are followed (women &lt;= 7 units per week) </t>
  </si>
  <si>
    <t>The patient is taking vitamin C, vitamin B, and folic acid, all of which are commonly used as dietary supplements. Since these supplements are included in the patient's current medications, it can be inferred that the patient meets the inclusion criterion regarding the consumption of dietary supplements in the past 2 months.</t>
  </si>
  <si>
    <t>['vitamin c', 'vitamin b', 'folic acid']</t>
  </si>
  <si>
    <t>The model rationale correctly identifies vitamin C, vitamin B, and folic acid as dietary supplements, which are listed in the patient's current medications (evidence rank 0 and 2). This aligns with the criterion definition that considers these substances as dietary supplements if they are commonly used as such. Therefore, the rationale is logically complete.</t>
  </si>
  <si>
    <t>["317_0_1", "317_3_0"]</t>
  </si>
  <si>
    <t>arterial disease, status post bilateral lower extremity bypass, hypertension, and hyperlipidemia. her current medications include aspirin 325 mg, which she started a few days ago, lipitor 10 mg once daily, diovan 160 mg twice daily, vitamin c, vitamin b and folic acid supplementation. she has no clear drug allergies, but does get nauseous and vomiting with percocet. she is a past smoker and had smoked for approximately three years, one pack per day in her early 20s. she works as a senior manager of broadcasting at giant food in albemarle. as i mentioned previously, her family history is notable for a brother who died of an mi in his late 40s. on physical examination, her blood pressure is 135 / 79, heart rate is 97 and her weight is 137 pounds. in general, she is very well appearing and in no apparent distress at rest. she has a jugular venous pressure of approximately 5 cm of water. she has 2 + carotids with no audible bruits. her upper extremities demonstrate 2 + brachial and radial pulses bilaterally. her chest is clear to auscultation bilaterally. her cardiac exam reveals a regular rate and rhythm, normal s1 and s2, and a soft 2 / 6 systolic ejection murmur best heard at the left sternal border. her abdomen is benign. she has no abdominal bruits and no significantly palpable aorta. her lower extremity exam is notable for a hyperemic left foot with a bandage, which is covering what is reportedly a gangrenous toe. her left lower extremity pulses are 1 + in the femoral, absent popliteal and absent distal pulses. in her right lower extremity, she has 1 + femoral, with no bruit, 2 + popliteal, 2 + dp and 1 + pt. an ekg done in our clinic today demonstrates a normal sinus rhythm at a rate of 97 beats per minute with a left axis deviation. there is left atrial enlargement and q - waves in v1 through v3 suggestive of an old anteroseptal mi. there are also q - waves in lead iii and avf, which raises suspicion of an old inferior mi. in summary, ms. hendricks is a lovely 52 - year - old female with longstanding diabetes, hypertension, hyperlipidemia, and peripheral arterial disease
******************
who comes in today for perioperative risk assessment in light of an anticipated redo left lower extremity bypass graft. she appears to have an excellent functional capacity up until several months ago. however, i am concerned by her electrocardiogram, which raises the suspicion of underlying coronary artery disease given the findings of a probable inferior and old anteroseptal myocardial infarction. as such, i think that it would be wise to better delineate her burden of coronary artery disease by way of a stress test prior to her surgery. given that her functional status has been so good up until recently, i do not think that we need to delay her surgery. however, i would start her on a beta - blocker and as such, i have given her a prescription for atenolol 25 mg once daily, which she will start today and continue up to and beyond the perioperative period. during the perioperative period, we would recommend that she has tight control of her blood pressure and heart rate with a goal blood pressure less than 120 / 80 and a goal heart rate less than 60. i would also make sure to obtain a postoperative ekg to ensure there has not been any changes. we will try to arrange for an exercise test with arm ergometry and mibi imaging for tomorrow morning. if we are unable to do arm exercise, we will obtain an adenosine mibi. i will follow up with the results tomorrow after the study is performed. as i mentioned because her functional capacity is good, i do not anticipate that we will need to make any changes in the surgical scheduling based on the test results. this is more in order to give us a sense of the underlying burden of coronary artery disease. it was a pleasure seeing ms. hendricks in clinic today. we are certainly available during the perioperative period if any cardiovascular issues are to arise. please feel free to contact me with any questions. sincerely, _ _ _ _ _ _ _ _ _ _ _ _ _ _ _ _ _ _ _ _ _ _ _ _ _ _ _ _ _ _ fatima k baird, m. d. escription document : 0 - 1465457 iffocus cc : trevon schmidt m. d. 54 clinton street decatur, wi 96857 dd : 05 / 01 / 78 dt : 05 / 02 / 78 dv : 05 / 01 / 78
******************
record date : 2078 - 05 - 08 ed surgery consult date / time : 5 / 8 / 78 4 : 56pm * * * * * * * * * * * * * * * * * * * * * * * * * * * * * * * * * * * * * * * * * * * * * * * * * * * * name : hendricks, hannah mrn # 75322175 resident : xavier g. england, md, edm attending : dr. hunter ishikawa * * * * * * * * * * * * * * * * * * * * * * * * * * * * * * * * * * * * * * * * * * * * * * * * * * * * cc : bleeding from groin wound hpi : ms. hendricks is a 52yof with a history of pvd and non - healing wounds of the lle s / p redo left femoral - tibial bypass with arm vein on 5 / 3 / 78 who was discharged to home yesterday and now returns after she noted a gush of blood from her left groin wound while coughing earlier today. she was doing well until this morning when she coughed and immediately noted that her left pant leg was soaked with blood from the left groin down the left leg. when she took off her pants there was no active bleeding from the wound and she denies any light - headedness or dizziness. there has been no further bleeding from the wound and she is otherwise without complaints. pmhx : pvd, htn, hypercholesterolemia pshx : right fem - pop bypass 2066, left fem - dp bypass 2066, redo left fem - pt bypass 5 / 3 / 78. meds : tylenol, asa, vitamin c, atenolol, lipitor, colace, folic acid, lactulose, milk of magnesia, oxycodone, valsartan all : percocet - &amp; gt ; nausea shx : denies any recent etoh / ivda / tob pe : 98. 7 78 134 / 72 12 100 % on ra general : no distress heent : ncat chest : ctab heart : rrr, no mrg abdomen : soft, nt / ne extremities : rue wound healing well without erythema / warmth / tenderness. left groin wound with small mobile collection at cephalad portion of wound
******************
##rombosis in either the right or left common femoral, superficial femoral and popliteal veins. there is no gross evidence of deep vein thrombosis in the left calf. date : 06 / 11 / 78 type : arterial ultrasound tests right brachial pressure 168 mmhg left brachial pressure 169 mmhg right dp 154 mmhg left dp 143 mmhg right pt 156 mmhg left pt 151 mmhg patent arterial bypass graft with no evidence of hemodynamically significant stenosis. assessment and plan : 52 y / o f with hx of diabetes type i and pvd, s / p several bypasses, presenting with worsening l foot pain of two weeks duration. on physical exam, l foot is exquisitely tender and while it is warm to touch, it is erythematous and there is an ulcer on the plantar surface of the big toe. in addition, abis from today show l ankle abi of 0. 19. the etiology of her pain is an occlusion of the l fem - anterior tibial bypass vs. diabetic neuropathy, however, she has been taking neurontin without relief and the diabetic neuropathy is less likely. - oxycodone for pain control, continue neurontin - continue home atenolol, asa, valsartan - npo from midnight, pepcid - check chem7, cbc, coags - has an insulin pump - angiography vs. angioplasty tomorrow _ _ _ _ _ _ _ _ _ _ _ _ _ hayden shepherd manamana iv 01722 patient seen and examined. agree with medical student note above. briefly, 52yf with dm i, htn, hyperlipidemia s / p bilateral revascularization procedures for pvd presents with complaints of left foot pain limiting walking to several feet as well as with small ulcers on her toes. abis are very diminished on the left and graft scan shows elevated velocities at proximal anastomosis. she is admitted in anticipation of angiography in am. n : cont oxycodone, neurontin cv : cont home meds resp : f / u final cxr read gi : diabetic diet ; npo after mn gu : d5 &amp; # 189 ; ns @ 100 after mn ; foley to be placed at 6am heme : sqh id
******************
: no issues endo : patient has insulin pump and knows to adjust this when she is npo other : consent for angiogram in chart discussed with dr. weller, vascular chief resident, who agrees with assessment and plan. _ _ _ _ _ _ _ _ _ _ _ _ _ _ kathryn brewer, md pgy 2 pg 68283
******************
alert, and oriented x3 except for some decreased sensation in her left foot, which is chronic. emergency department course : the patient was seen and evaluated by me and the resident. i confirm that i have seen and evaluated the patient, reviewed the resident's documentation on the patient's chart, and discussed the evaluation, plan of care, and disposition with the patient as well as the resident. the patient had a cbc and metabolic panel. cbc showed white count of 14 with shift. lfts were within normal limits. x - ray of her left foot showed no osteomyelitis seen on x - ray and x - ray of her tib - fib continued to show no osteomyelitis. given the erythema and swelling, i was concerned about a cellulitis in this vasculopathic who was also diabetic and so we gave her a 1 g of vancomycin ( especially given the fact that she has failed outpatient therapy with oral antibiotics ) and we are admitting her to the medicine service for cellulitis. the patient's erythema and swelling does not extend to her foot and would be extremely atypical for a dvt. we also notified the internal medicine resident of the patient's admission to medicine as she is followed closely by surgery and this notification was made at 8 : 30 p. m. given the fact that she does not have osteomyelitis at this point we have not discussed the picc line and given the fact that she does not have any _ _ _ _ abnormalities, i did not believe that she needs pressors or aggressive hydration and we are starting her on maintenance fluids, antibiotics, and admitting her to the hospital. diagnosis : left lower extremity cellulitis. condition : stable. disposition : admit to hospital. _ _ _ _ _ _ _ _ _ _ _ _ _ _ _ _ _ _ _ _ _ _ _ _ _ _ _ _ _ _ faulkner, gabrial md d : 08 / 05 / 79 t : 08 / 05 / 79 dictated by : faulkner, gabrial escription document : 7 - 11192535 bffocus * * * * * * * * not reviewed by attending physician * * * * * * * *</t>
  </si>
  <si>
    <t>DRUG-ABUSE</t>
  </si>
  <si>
    <t>The patient has a history of suicidal ideation and has been reported to have had episodes where he contemplated overdosing on oxycodone, indicating a past or current issue with drug abuse. Although he denies illicit drug use, the mention of oxycodone suggests a significant concern regarding drug abuse.</t>
  </si>
  <si>
    <t>['nph insulin', 'regular insulin', 'celexa', 'klonopin', 'mvi', 'zinc supplements']</t>
  </si>
  <si>
    <t>The model rationale assumes a history of drug abuse based on suicidal ideation involving oxycodone, but the evidence (rank 1, chroma_id: 322_3_0) only indicates suicidal ideation with a plan to overdose, not actual drug abuse. The patient denies illicit drug use (rank 2, chroma_id: 322_3_2), and there is no evidence of oxycodone abuse or misuse. The rationale relies on assumptions not fully supported by the evidence.</t>
  </si>
  <si>
    <t>["322_3_0", "322_3_2"]</t>
  </si>
  <si>
    <t>record date : 2076 - 01 - 24 pt is a pleasant obese 31yo man presenting for f / u dm, htn, lipids, insomnia and depression. problems diabetes mellitus type 2 hypertension hyperlipidemia elevated triglycerides depression obesity back pain : dish medications motrin ( ibuprofen ) 800 mg ( 800mg tablet take 1 ) po tid prn pain metformin 875 mg ( 875mg tablet take 1 ) po tid lisinopril 40 mg ( 40mg tablet take 1 ) po qd, dose increase prozac ( fluoxetine hcl ) 40 mg ( 20mg tablet take 2 ) po qd zocor ( simvastatin ) 40 mg ( 40mg tablet take 1 ) po qhs, replaces lipitor ( insurance ) hydrochlorothiazide 25 mg ( 25mg tablet take 1 ) po qd x 30 days serax ( oxazepam ) 10 mg ( 10mg tablet take 1 ) po qhs prn insomnia x 30 days fioricet ( butalbital + apap + caffeine ) 1 tab ( 325 - 40 - 50 capsule ) po q4h prn headache last seen by pcp 1 mo ago. at that time, he had been complaining of hypoglycemia w / sugars in the 70's causing him to feel shakey and anxious. glyburide was stopped, metformin dose was adjusted from 1000mg bid to 875mg tid. today he states he has had no hypoglycemic sxs since these changes. he forgot his logbook today. reports lowest sugar in the 80's, highest 180. most fastings around 100, randoms 140 - 150's. he is still walking every day. states his back is " fine ", no longer painful, though sometimes stiff upon wakening. has appt at promptcare for eye exam later this month. has gained # 14 in 1 month, which he blames on increased stress at home. his cat was injured and recuperating. his mother was recently dx'd w / " carcinoma ", but he is unclear of type. he eats when he is stressed. has not seen psych yet, but states they have been playing " phone tag ". he continues to have insomnia and finds neither the prozac or serax helpful. depression is stable,
******************
record date : 2077 - 06 - 19 manamana medical consult note patient : vaughn, frank r. manamana mr # : 6767510 pcp : henry jenkins, m. d. ( 503 155 - 7742 ) psych : brittany prince, m. d. contact : mother, haley vaughn ( 158 857 - 4114 ) source : patient ; m. d. passoff ; previous medical records precautions : mrsa ; vre primary service : psychiatry service ( internal medicine ) consult date : 6 / 19 / 77 time : 2 : 00 pm cc : suicidal ideation reason for consult : evaluation for history of medical problems hpi : pt is a 33 y. o. male with htn, iddm2, hyperlipidemia, recent prolonged hospitalization for fournier &amp; # 8217 ; s gangrene at manamana, and depression, who was transferred to the manamana psychiatry by his mediquik psychiatrist, dr. prince from her clinic today for active suicidal ideation. dr. prince had arranged involuntary hospitalization for this pt with campus security and ems, prior to his arrival for the appointment. however, per mr. vaughn, he arrived to the appointment only with the expectation of discussing his depression and refilling his celexa, which he has been unable to take for the past 2 weeks, due to an expired prescription. dr. prince documents a discussion in which the pt was tearful and emotional, while describing active suicidal ideation with a plan to overdose on oxycodone. he reportedly had several episodes this past week, where he had more than a hundred oxycodone pills in his hand, but did not follow through on his plans. given concern for imminent danger, a section 12 was completed, and pt was transferred to the manamana ed. the pt does admit to phobias of the hospital, and strong desire to avoid admission. however, he states that his last suicidal ideation was approximately 2 weeks ago, and that he changed his mind, once he realized his mother &amp; # 8217 ; s soon - to - be ex - husband, who has been threatening her, will be released from prison soon. moreover, he states that he has been taking all his medications, checking his insulin at least four times a day for his sliding scale, and changing the dressings on his sacral and scrotal wounds, with intent to improving his health. the medical service was asked to evaluate the pt for active and impending medical issues
******************
nph insulin 10units sc qpm with dinner 4. regular insulin sliding scale sc qac + qhs - for fs of 130 - 170, give 2units - for fs of 171 - 200, give 4units - for fs of 201 - 250, give 6units - for fs greater than 250, give 10units 5. celexa 60mg po once daily ( stopped taking 2 weeks ago ) 6. klonopin 1mg po once daily prn for anxiety ( last dose was 3 days ago ) 7. mvi 1tablet po once daily 8. zinc supplements allergies : hctz - &amp; gt ; hyponatremia social history : lives in waupun, al with his mother, haley vaughn occupation : former motor vehicle assembling supervisor. currently publishing manager. tobacco : denies etoh : rare. 1 drink a year. illicits : denies ivdu, all illicits, including marijuana. ros : please refer to hpi for pertinent positives and negatives. general : denies fevers, chills, general weakness. denies light - headedness. skin : no changing moles, lumps. sacral and scrotal wounds stable and improving head : occasional migraine headaches. denies trauma eyes : no visual changes or drainage nose : no epistaxis, obstruction, sinusitis mouth : no sores, no sore throat resp : no wheezing, hemoptysis, shortness of breath cv : no cp, angina, doe, pnd, orthopnea, palpitations gi : denies abd pain, constipation, diarrhea. colostomy site with good output and without bleeding gu : no dysuria, nocturia, hematuria, frequency, urgency, hesitancy. denies urinary incontinence neuro : no dizziness, involuntary movements, syncope, loss of coordination, paralysis physical exam vs : t : 97. 6 p : 90 ( regular ) bp : 126 / 72 rr : 18 o2 sat : 98 % on r. a. wt : 298 lbs gen : in nad. obese. comfortable, lying flat in bed. heent : nc / at. perrl. eomi. op clear without lesions, mmm without erosions. neck : soft, supple, from, no thyromegaly. 2 + carotid pulses bilaterally without delay. no
******************
) : ethanol ( 100 ). isopropanol ( 100 ). methanol ( 100 ). tox panel 2 ( ats ) completed : panel negative ( note ) drugs included in panel 2 ( detection limit in mg / l ) : acetaminophen ( 25 ). lamotrigine ( 4 ). salicylate ( 100 ). tox panel 3 ( bbt ) completed : positive findings listed above. ( note ) drugs included in panel 3 ( detection limit in mg / l ) : butalbital ( 10 ). carbamazepine ( 2 ). ibuprofen ( 17 ). pentobarbital ( 6 ). phenobarbital ( 11 ). phenytoin ( 5 ). secobarbital ( 5 ). tox panel 4 ( bz ) completed : positive findings listed above. ( note ) drugs included in panel 4 ( detection limit in mcg / l ) : 4 - oh glutethimide ( 1000 ). alprazolam ( 50 ). chlordiazepoxide ( 200 ). clonazepam ( 10 ). demoxepam ( 200 ). desalkylflurazepam ( 300 ). diazepam ( 100 ). flurazepam ( 500 ). glutethimide ( 1000 ). lidocaine ( 150 ). lorazepam ( 150 ). methaqualone ( 1000 ). norchlordiazepoxide ( 200 ). nordiazepam ( 100 ). oxazepam ( 150 ). quinidine ( 1000 ). temazepam ( 250 ). trazodone ( 250 ). tox panel 5 ( tc ) completed : panel negative ( note ) drugs included in panel 5 ( detection limit in mcg / l ) : amitriptyline ( 20 ). chlorpheniramine ( 40 ). chlorpromazine ( 30 ). clomipramine ( 20 ). clozapine ( 250 ). cocaethylene ( 10 ). cocaine ( 10 ). cyclobenzaprine ( 20 ). pseudoephedrine ( 500 ). desipramine ( 20 ). desmethylsertraline ( 50 ). dextromethorphan ( 1000 ). diphenhydramine ( 20 ). disopyramide ( 150 ). doxepin
******************
( 20 ). doxylamine ( 20 ). fluoxetine ( 50 ). fluvoxamine ( 40 ). imipramine ( 20 ). m - cpp ( 100 ). maprotilene ( 400 ). meperidine ( 200 ). mesoridazine ( 500 ). methadone ( 100 ). norclomipramine ( 20 ). nordoxepin ( 20 ). norfluoxetine ( 50 ). normaprotilene ( 450 ). normeperidine ( 200 ). norpropoxyphene ( 200 ). nortriptyline ( 20 ). norverapamil ( 50 ). oxycodone ( 40 ). paroxetine ( 50 ). pentazocine ( 1000 ). promazine ( 50 ). propoxyphene ( 200 ). propranolol ( 50 ). pyrilamine ( 50 ). sertraline ( 20 ). thioridazine ( 100 ). trifluoperazine ( 60 ). trimipramine ( 50 ). venlafaxine ( 50 ). verapamil ( 50 ). urine toxicology test description result flags ref. range units ur amphetamines negative ( neg ) ur methamphetamines negative ( neg ) ur barbiturates negative ( neg ) ur benzodiazepines negative ( neg ) ur cocaine metab negative ( neg ) ur opiates negative ( neg ) ur phencyclidine negative ( neg ) ur cannabinoids negative ( neg ) ur tricyclics negative ( neg ) ur methadone negative ( neg ) ur acetaminophen negative ( neg ) urinalysis ua - color yellow ( yellow ) ua - turbidity clear ( clear ) ua - specific gravity &amp; gt ; 1. 030 ( 1. 001 - 1. 035 ) ua - ph 6. 0 ( 5. 0 - 9. 0 ) ua - wbc screen negative ( neg ) ua - nitrite negative ( neg ) ua - albumin 3 + ( neg ) ua - glucose negative ( neg ) ua - ketones negative ( neg ) urobilinogen negative ( neg ) bili negative ( neg ) ua - occult blood 1 + ( neg ) ua - sed - rb
******************
sterile dressing changes to his scrotal and sacral wounds tid and prn if dressing is soaked 9. will defer antidepressive medication regimen to psychiatry service case and plan discussed in detail with medical consult attending, dr. hector bennett. _ _ _ _ _ _ _ _ _ _ _ _ _ _ _ _ _ _ _ _ _ _ _ _ _ _ _ _ _ ulysses jurado, m. d. pager # 34621 manamana medical sar</t>
  </si>
  <si>
    <t>assumption; extraction_error</t>
  </si>
  <si>
    <t>the text mentions intent but not action; lab results oxycodone (40) indicate low levels</t>
  </si>
  <si>
    <t>The patient has a history of taking narcotics for back pain, specifically mentioned as 'roxicet', which is an opioid. Additionally, there is a mention of her being agitated and confused, possibly related to her medication management, which included narcotics. This suggests a past or current issue with drug use, particularly with controlled substances.</t>
  </si>
  <si>
    <t>['aspirin 81 mg daily', 'celebrex', 'donepezil 5 mg daily', 'hctz', 'lisinopril', 'labetalol', 'crestor', 'insulin', 'pramipexole 0.125 mg qhs', 'protonix', 'roxicet', 'l-thyroxine', 'temazepam qhs', 'metformin']</t>
  </si>
  <si>
    <t>The model rationale assumes a history of drug abuse based on the use of 'roxicet' for back pain and mentions of agitation and confusion. However, the evidence (chroma_id: '323_2_0') indicates that the patient's confusion was related to medication management issues, not necessarily drug abuse. There is no explicit mention of drug abuse or misuse in the evidence provided.</t>
  </si>
  <si>
    <t>["323_2_0"]</t>
  </si>
  <si>
    <t>d. i discussed the use and side effects of this medication. i will see her back in the office in two or three weeks to review her progress. 2. low back pain. i recommend the patient continue her bextra. we discussed other pain medications including narcotics. we elected against using these medications today. 3. history of sleep apnea. the patient has significant fatigue. this may be due to her sleep apnea. in addition, her difficulty with her weight as well as fluid retention may relate to her poorly controlled sleep apnea. i discussed this with her today. i would recommend that she return for a follow up sleep study. she did not have good luck with a sleep mask but might do better with a nasal mask. she will think about this and we will review it again on her follow up visit. _ _ _ _ _ _ _ _ _ _ _ _ _ _ _ _ _ _ _ _ _ _ _ _ _ _ _ _ _ _ roger york, m. d. dictated by : roger york escription document : 4 - 6557064 dana vaughn dd : 08 / 27 / 60 dt : 08 / 28 / 60 dv : 08 / 27 / 60
******************
record date : 2061 - 07 - 15 reason for visit this is a 65 year old female referred to the diabetes management service for poorly controlled diabetes chief complaint this patient is admitted to the hospital for lap gastric banding history of present illness the patient has history of type 2 diabetes. currently the patient is treated with nph 40 units sc bid and lispro 15 - 25 units pre breakfast and dinner. the control has been fair with recent a1c of 7. 2. she is followed at loudes hospital for her diabetes care. the patient tests her blood sugar at least tid. her diabetes has been complicated by symptomatic neuropathy and retinopathy requiring laser therapy. she was admitted yesterday for her banding procedure. she received nph 22 units sc last night but not today. while in the hospital glucose levels have been elevated over 200 and the patient has been started on d5w at 125 / hour. the patient is not yet being fed. past medical history concurrent medical problems include : htn, hyperlipidemia, hypothyriodism family history family history is positive for diabetes social history the patient is married. habits the patient is not a smoker. review of systems ros : feels well in general. no polyuria, dysuria, polydipsia, change in bowel habits or gi distress. denies symptoms of skin, bladder upper respiratory infections. energy appropriate, sleep unremarkable, mood stable. no palpitations or dizziness, headaches or visual symptoms. medications quinine ( quinine sulfate ) 324mg capsule po qhs prn asa ( acetylsalicylic acid ) 81mg tablet ec take 1 tablet ( s ) po qd insulin nph human 40 units sc bid before breakfast and before supper humalog ( insulin lispro ) 15 - 25 sc bid before breakfast and before supper prn sliding scale levothyroxine sodium 150 mcg ( 150mcg tablet take 1 ) po hctz ( hydrochlorothiazide ) 25mg tablet take 1 - 2 po qd as directed x 30 days lipitor ( atorvastatin ) 20 mg ( 20mg tablet take 1 ) po qd celebrex ( celecoxib ) 200 mg ( 200mg capsule take 1 ) po bid flonase ( fluticasone nasal spray ) 1 - 2 spray inh qd prn as directed, 1 - 2 sprays each nostril qd as
******************
record date : 2065 - 04 - 22 april 22, 2065 xian, brooklyn 602 - 44 - 98 - 6 she was last in the clinic on october 24, 2063. she comes in today with her husband and daughter. ( her daughter is her legal healthcare proxy. ) they come in to follow up on a recent hospitalization at mid coast hospital. in january, she was noted by her family to be agitated and confused. she was missing her medication or taking too much medication at times, including her insulin. she also became paranoid when efforts were made to intervene to assist her. her family notes that this seemed to begin after her gabapentin dose was increased to 600 mg bid. she was also taking some other drugs at the time that affect the central nervous system, including trazodone, benzodiazepines, and narcotics for back pain. she was admitted to the geriatric psychiatry unit at mid coast in january 2065. she stayed there for almost a week. according to the family, some medications were discontinued and donepazil was started. also, they think she had a brain mri. she improved and was ultimately discharged. she has done much better since discharge. she went with family to michigan. they report that there she was much better, playing water volleyball last week. her husband is now supervising her medications. he still notices some memory loss, but this has improved since her discharge. she has had frequent headaches. she has noted no urinary incontinence and no worsening of her gait. according to available notes, drugs stopped during her hospitalization include gabapentin, trazodone, metformin, hctz, hunulin, and lispro. she is back no the metformin and hctz. her current medications are : aspirin 81 mg daily, celebrex, donepazil 5 mg daily, hctz, linsinopril, labetalol, crestor, insulin, pramipexole 0. 125 mg qhs, protonix, roxicet, l - thyroxine, temazepam qhs, and metformin. she is allergic to erythromycin. on examination today pulse is 60 and regular. bp is 104 / 60. she is alert and oriented to time, except the precise date. she is aware that yesterday was tuesday. she is oriented to place. her mental and motor responses are slightly slow
******************
record date : 2067 - 02 - 12 guadalupe valley hospital 99 oregon avenue brazzaville, nc 65818 155 - 900 - 5638 xian, brooklyn 60244986 02 / 12 / 2067 identification : a 71 - year - old woman who presents to follow up diabetes. history of present illness : i received the patient's recent blood work and asked her to come in for a short - term followup. her hemoglobin a1c is 11. 1. we discussed her current system for managing her blood sugar. she notes 100 % compliance in using her nph insulin, 45 units in the morning, 40 in the evening. she is taking 2 shots of humalog, on average, in the morning and just before bedtime. she is doing 2 fingersticks a day, in the morning fasting and before bed. she notes recent indiscretions in terms of her calorie intake. she checked her fingerstick this morning, but cannot remember the result. she is fully compliant with her other medications. she was on simvastatin in the past, which was stopped because of liver test elevations. she was on crestor in the past, which was stopped at the time of a hospitalization when her ck was noted to be elevated. today, she is having no fever, chest pain, shortness of breath, abdominal pain, dysuria, leg swelling, or leg numbness. medications aricept ( donepezil hcl ) 5 mg ( 5mg tablet take 1 ) po qpm # 30 tablet ( s ) asa ( acetylsalicylic acid ) 81mg tablet ec take 1 tablet ( s ) po qd # 90 tablet ( s ) celebrex ( celecoxib ) 200 mg ( 200mg capsule take 1 ) po qd # 30 capsule ( s ) glucagon emergency kit ( glucagon hcl ) 1 mg ( 1mg vial take 1 ) sc x1, use as needed for low blood sugar # 1 vial hctz ( hydrochlorothiazide ) 50 mg ( 25mg tablet take 2 ) po qd as directed x 30 days # 60 tablet ( s ) humalog insulin ( insulin lispro ) 15 units sc ac x 90 days # 3 month ( s ) supply insulin nph human 45 unit s am and 40 pm sc am and qhs x 90 days # 3 month ( s ) supply labetalol hcl 200 mg ( 100mg
******************
tablet take 2 ) po bid # 120 tablet ( s ) levothyroxine sodium 125 mcg ( 125mcg tablet take 1 ) po qd x 90 days # 90 tablet ( s ) lisinopril 40 mg ( 40mg tablet take 1 ) po qd x 30 days # 30 tablet ( s ) mirapex ( pramipexole ) 0. 125mg tablet po as directed prn as directed, 1 - 4 tab # 120 tablet ( s ) oxycodone 5 mg ( 5 mg tablet take 1 ) po q6h prn pain, may increase to 2 po qid if needed for pain. # 180 tablet ( s ) temazepam 30 mg ( 30mg capsule take 1 ) po qhs prn, caution causes sedation x 30 days # 30 capsule ( s ) allergies erythromycins - itching simvastatin - elevates liver enzymes amitriptyline hcl - urinary retention gabapentin - memory loss vital signs bp 126 / 68 l arm, p 69, temp 98. 0, wt 235. 0 lb physical examination : the patient is in no distress. her initial blood pressure, as she walked down the hall, was 154 / 71. repeating this after sitting was 126 / 68. lungs : clear. cardiac : regular. extremities : trace edema. assessment : uncontrolled adult onset diabetes. care for this will be challenging due to the patient's cognitive problems. she does use valley hospital web services. we discussed to start frequent communication via web services of test results will be helpful for me in helping her adjust insulin. we discussed the possibility of changing from nph to lantus insulin, but elected to continue her nph for now. we discussed that her use of the ultra - fast acting insulin does not quite make sense. she is taking an injection in the evening, long after her meal. i asked her to describe her meals and she has carbohydrates essentially with every meal. i think initially she can easily tolerate 10 units of humalog with each meal. she notes that she prefers to inject the insulin after she eats, which is acceptable as long she does it within a few minutes of the meal. she currently is using an average of 15 units, so this will increase her total daily insulin use by just 15 units. i asked her to check 3 fingersticks a day for me and to e - mail them on
******************
a daily basis to start. she will check a fasting fingerstick. she will check a fingerstick before her evening meal, which is her largest meal of the day. she will check a fingerstick 2 hours after her evening meal. she does not need to check a fingerstick right before bed. she will stop using humalog right before bed and only use the nph at that time. we discussed the importance of cholesterol treatment. her last ldl was over 100. i would like to revisit the idea of using a statin. i will repeat her ck level to see if this remains elevated. her blood pressure on recheck is acceptable. i will see her back in the office in 2 months rather than what is booked now. most of our visit today took place together with her husband. we spent a total of 25 minutes with more than half the time spent in counseling. _ _ _ _ _ _ _ _ _ _ _ _ _ _ _ _ _ _ _ _ _ _ _ _ _ _ _ _ _ _ roger york, m. d. escription document : 6 - 48975237 tc567 dd : 02 / 12 / 67 dt : 02 / 12 / 67 dv : 02 / 12 / 67</t>
  </si>
  <si>
    <t>mentioned drug is part of (precribed) medication</t>
  </si>
  <si>
    <t>The clinical notes do not explicitly mention any cognitive impairments or limitations regarding the patient's ability to make their own medical decisions. Additionally, the patient lives independently and has family support, which suggests she is capable of making her own decisions. Therefore, it can be inferred that she meets the criterion.</t>
  </si>
  <si>
    <t>['acetaminophen (tylenol) 325-650 mg po q4h', 'amlodipine (norvasc) 7.5 mg po qd', 'atenolol 75 mg po qhs', 'atorvastatin (lipitor) 10 mg po qd', 'calcium carbonate / vitd (250mg ca ++ / 125u vitd) 1 tab po qd', 'docusate sodium (colace) 100 mg po bid', 'ferrous sulfate 325 mg po bid', 'furosemide (lasix) variable po qd', 'levothyroxine sodium (levothroid) 25 mcg po qd', 'quetiapine (seroquel) 12.5 po bid', 'sennosides (senna tablets) 2 tab po qd', 'enoxaparin 30 mg sc bid']</t>
  </si>
  <si>
    <t>The model rationale assumes the patient can make her own medical decisions based on her living situation and lack of explicit mention of cognitive impairments. However, evidence (chroma_id: '328_3_0') indicates the patient has mild dementia and poor short-term memory, which could affect decision-making capacity. The assumption that she meets the criterion without explicit confirmation is not fully supported by the evidence.</t>
  </si>
  <si>
    <t>["328_3_0"]</t>
  </si>
  <si>
    <t>record date : 2077 - 06 - 29 medicine service consult note patient name : carlson, rebecca mr # : 9500004 date and time of consultation : 6 / 29 / 2077 8 : 30 am primary attending : dr. oscar urzua medicine consult attending : dr. elliot sexton contact : kurtis carlson ( son, hcp ) 041 - 787 - 2145 home and 947 - 504 - 1545 cell consult question / request : preoperative evaluation cc / hpi : 87f with pmhx of htn, hypercholesterolemia, dm, hypothyroidism, chronic venous stasis, and h / o post - op dvt presents with l proximal femur fracture after fall. pt was on her porch attempting to reach the doorknob of her front door, but failed to reach it and fell back landing sitting down. pt c / o of left femur pain and was unable to get up from the sitting position even with the assistance of her daughter who witnessed the fall. ems was called to the scene to transport the patient to the hospital. pt denies hitting her head. no loc. denies cp, sob or palpitations as the cause of her fall. ros : as in hpi, otherwise negative in detail. past medical : hypercholesterolemia diabetes : diet controlled htn hypothyroidism hx of post - op dvt &amp; gt ; 40 years ago after hysterectomy - unclear whether patient ever treated with coumadin - since then has had chronic venous stasis of lower extremities past surgical : total hysterectomy w / bladder suspension at age 42 medications at home ( confirmed with family ) : atenolol 75 mg qday ( different than stated on earlier note ) lasix 120 mg po daily ( different than stated on earlier note ) norvasc 7. 5 mg qday lipitor 10 mg qday, levothyroxine 0. 25 mcg qday asa 81 mg calcium carbonate + vit d 1 tab q day medications here : acetaminophen ( tylenol ) po 650 mg q4h [ 06 / 28 / 77 ] amlodipine ( norvasc ) po 7. 5 mg qd [ 06 / 28 / 77 ] atenolol po 50 mg qd [ 06 / 28 / 77 ] atorvastatin ( lipitor ) po
******************
- inr 1. 1 ; ptt 24. 3 fib 462 ( h ) ua : 1. 010, ph 7. 0, negative dipstick ; micro showed few bacteria, few squams and 0 - 2 wbcs ekg : normal sinus rhythm. 1st degree av block. left axis deviation with likely left anterior fascicular block. no priors available for comparison. imaging : chest x - ray : no evidence of pneumonia. hip films : impacted, displaced fracture of the left femoral neck with longitudinal extension of fracture into the intertrochanteric proximal femur. tte 6 / 77 : mild mr. left atrium enlarged at 36 mm. moderate tr with prominent eustachian valve. normal lv cavity with ef 64 %. normal rv function with rvsp 44. impression : 87f with pmhx of htn, hypercholesterolemia, dm, hypothyroidism, chronic venous stasis, and h / o post - op dvt presents with l proximal femur fracture after fall. patient &amp; # 8217 ; s fall does appear to be mechanical by history. her rcri would be class i - ii, placing her at low to intermediate risk for this intermediate risk procedure. given that she is on beta - blockade, she should be continued with use of short acting beta - blocker ( i. e., lopressor ) while here in the hospital. her chronic venous stasis change is likely due to previous bilateral dvts based on her history. this can be evaluated postoperatively as it may affect decisions regarding potential anticoagulation. recommendations : - please change patient from atenolol to lopressor 37. 5 mg po q8hours, to be held for hr &amp; lt ; 55 and sbp &amp; lt ; 100 - please check ecg postoperatively along with troponin on day 1 and day 4 postoperatively - please implement high risk dvt prophylaxis postoperatively with lovenox 30 mg sc bid - please schedule lenis postoperatively as is tolerated based on surgery. would need to discuss benefits / risks of ongoing anticoagulation with family if positive thank you for this interesting consult. to be staffed today with dr. elliot sexton. _ _ _ _ _ _ _ _ _ _ _ _ _ _ _ _ _ _ _ _ _ _ _ _ _
******************
arrival to the floor. review of systems general &amp; # 8211 ; no weight loss, gain ; no fevers, chills ; + fatigue over last 2 days pulmonary &amp; # 8211 ; no cough, no dyspnea cardiac &amp; # 8211 ; no chest pain, no palpitations, no orthopnea, no pnd, no syncope gastrointestinal &amp; # 8211 ; no nausea, vomiting, diarrhea ; no constipation ; no changes in appetite ; no abdominal pain genitourinary &amp; # 8211 ; no dysuria musculoskeletal &amp; # 8211 ; no muscular pain hematologic &amp; # 8211 ; no easy bruising, no mucosal bleeding extremity &amp; # 8211 ; no lower extremity edema neurology &amp; # 8211 ; no headache, no changes in strength or sensation ; no numbness or tingling past medical history hlp dm : diet - controlled ; does not check sugars at home htn hypothyroidism hx of post - op dvt &amp; gt ; 40 years ago after hysterectomy ( unclear if ever on coumadin ) past surgical history s / p left hemiarthroplasty, 14 days ago family history father &amp; # 224 ;? cabg versus avr at age 79 mother &amp; # 224 ; 3 mis, first in 60s social history lives alone in third floor with her daughter and son in the second and first floor of the building ; until her surgery, she ambulated w / o any devices or assistance. no etoh, smoking or recreational drugs. allergies / adverse reactions hctz &amp; # 224 ; facial swelling / rash medications on admission acetaminophen ( tylenol ) 325 - 650 mg po q4h &amp; lt ; di &amp; gt ; prn : pa docusate sodium ( colace ) 100 mg po tid acetylsalicylic acid ( aspirin ) 81 mg po daily calcium carbonate / vitd ( 250mg ca + + / 125u vitd ) 1 tab po daily &amp; lt ; di &amp; gt ; enoxaparin 30 mg sc bid &amp; lt ; di &amp; gt ; furosemide ( lasix ) 40 mg po daily levothyroxine sodium ( levothroid ) 25 mcg po daily &amp; lt ; di &amp; gt ; &amp; lt ; ddi &amp; gt ; metoprolol tartrate ( lo
******************
##lete lytes - up - titrate beta - blocker if tachycardia persists on 7 / 14 following hct stabilization - follow fever curve, cbc 4 ) heme - started lovenox 30 mg bid on pm of 7 / 13 given risk of dvt ( last anticoag 7 / 12 am ) - d / w ortho re : risk of re - bleed versus risk of dvt 5 ) dm - bid fingersticks, riss if necessary fen : adat, d5ns at 80cc / hr for now ppx dvt : lovenox 30 bid for now bowel : colace, senna prn code : full code _ _ _ _ _ _ _ _ _ _ _ _ _ _ _ _ _ _ _ _ _ _ _ _ _ _ _ _ _ _ _ _ _ _ vincent h. campos, md pager # 13180
******************
8211 ; 3 mis paternal &amp; # 8211 ; hx of open heart surgery (? valvular disease ) siblings &amp; # 8211 ; one brother with lung cancer children &amp; # 8211 ; 1 son and 2 daughters, all very supportive social history general &amp; # 8211 ; pt lives by herself on the third floor of a house, with her daughter and son on the 2nd and 1st floors of the building. one of her children is usually with her at all times. tobacco &amp; # 8211 ; the patient denies tobacco use. alcohol &amp; # 8211 ; the patient denies recent alcohol use. illicit drugs &amp; # 8211 ; the patient denies past and present use of illicit drugs. allergies / adverse reactions hctz &amp; # 8211 ; unknown reaction medications on admission 1. acetylsalicylic acid ( aspirin ) 81 mg po qd 2. amlodipine ( norvasc ) 7. 5 mg po qd 3. atenolol 75 mg po qhs 4. atorvastatin ( lipitor ) 10 mg po qd 5. calcium carbonate / vitd ( 250mg ca + + / 125u vitd ) 1 tab po qd 6. docusate sodium ( colace ) 100 mg po bid 7. ferrous sulfate 325 mg po bid 8. furosemide ( lasix ) variable po qd 120 mg qam and 80 mg qpm 9. levothyroxine sodium ( levothroid ) 25 mcg po qd 10. quetiapine ( seroquel ) 12. 5 po bid 11. sennosides ( senna tablets ) 2 tab po qd physical examination vitals : t 104. 5 p 102 bp 144 / 78 rr 50 sao2 92 % on 6l nc general &amp; # 8211 ; female lying in bed, occasionally moaning, shaking all extremities, c - collar in place heent &amp; # 8211 ; normocephalic, atraumatic ; perrl, eomi ; sclerae anicteric, no conjunctival injection ; oropharynx pink and moist without erythema, exudates, or lesions neck - no lymphadenopathy, normal thyroid without masses ; jvp flat ; carotid pulses 2 + bilaterally ; no carotid bruits ; the trachea is midline pulmonary &amp; # 8211 ; slight crackles at both bases cardiac &amp; # 8211
******************
may benefit from a holter monitor as an outpatient, to see whether she is frequently in af, or whether this was precipitated by illness and missing bb ( more likely ). - keep pt on tele while in house3. hx nms / serotonin syndrome : pt carries a dx of nms from prior med use the last time she was hospitalized for hip surgery ( see cas notes 11 / 16 / 77 ). however, pt is elderly and with hx of dementia, is at risk for postop dementia. given this, avoid anti - dopaminergic meds like haldol, seroquel, zydis / zyprexa, reglan. this pt tolerates small doses of benzo as a home med, therefore pt can try : - home klonopin 0. 25mg po bid standing - ativan 0. 5 mg q6h prn agitation - monitor for signs of nms : mental status changes with muscle rigidity, fever, autonomic instability. check ck if this happens and page med consult 06885 if any concerns. thank you for this consult. we will follow with you. _ _ _ _ _ _ _ _ _ _ _ _ _ _ _ _ _ _ _ _ _ _ _ _ _ _ _ _ _ _ _ _ _ _ peggy ellis, pgy - 2 pager # 75412</t>
  </si>
  <si>
    <t>two mentions of family consulation (medications and treatment) suggests that she may not be fully capable of independent decision-making</t>
  </si>
  <si>
    <t>The patient's serum creatinine level is reported as significantly elevated at 1.1, which is above the upper normal limit for creatinine. Therefore, the patient meets the inclusion criterion.</t>
  </si>
  <si>
    <t>['hydrochlorothiazide', 'metoprolol tartrate', 'potassium chloride']</t>
  </si>
  <si>
    <t>The model rationale incorrectly states that a serum creatinine level of 1.1 is significantly elevated and above the upper normal limit. General medical knowledge: The typical upper normal limit for serum creatinine is around 1.2 mg/dL for women, indicating that 1.1 mg/dL is within normal range. Therefore, the patient does not meet the criterion of having a creatinine level above the upper normal limit. This constitutes a logical error in the model's reasoning.</t>
  </si>
  <si>
    <t>["342_0_1"]</t>
  </si>
  <si>
    <t>left, reproducing her back pain. neurologically, the patient has a flat affect but is oriented with intact cranial nerves and no focal neurologic deficit in either motor or sensory distribution. she does, however, walk with a limp, which is chronic for her. laboratory data : white blood count is slightly elevated at 11. 3. bun and creatinine is also significantly elevated at 26 and 1. 1, respectively. potassium is also quite low at 2. 9. urinalysis is positive with 35 - 40 white blood cells, 15 - 20 red blood cells, and 2 + bacteria. emergency department course : my chief concern for this patient is her inability to care for self at home. it is apparent that her son is interested in helping her and do so, but the patient on physical exam has some obvious lack of hygiene and i am concerned that potentially the patient has either an underlying neurologic or psychiatric issue that is preventing her from thriving at home. psychiatry initially was consulted. their impression was that the patient may have neuro behavior problem that needs further outpatient workup, and she was referred to a specific providers within the next 2 weeks. the patient was treated with potassium chloride for her hypokalemia. care coordinator and social services were consulted. the patient will have a home safety evaluation and will be referred for primary care services, was discharged with a cane for ambulation, and will likely also receive vna services to help her with medication compliance and other adls. * * * * * * * * not reviewed by attending physician * * * * * * * * diagnoses : 1. chronic low back pain. 2. hypokalemia. 3. urinary tract infection. 4. failure to thrive. disposition : discharged. condition on discharge : satisfactory. _ _ _ _ _ _ _ _ _ _ _ _ _ _ _ _ _ _ _ _ _ _ _ _ _ _ _ _ _ _ ip, carrie md d : 01 / 13 / 93 t : 01 / 13 / 93 dictated by : ip, carrie escription document : 1 - 1843613 bffocus
******************
past. not interested on meds now. past medical history hypertension obesity cerebrovascular accident 2087, 2088, 2089, 2090 past surgical history cesarean section x 1 left leg orif allergies nka medications hydrochlorothiazide 25 mg po qd metoprolol tartrate 50mg tablet take 1 tablet ( s ) po bid family history negative for breast cancer, colon cancer, prostate cancer, skin cancer, leukemias, cad, myocardial infarction, hypertension, diabetes mellitus, hypercholesterolemia, asthma. social history lives at home with her son and his wife smoking 1 ppd cigarretes etoh occasional. denies ivda. denies other recreational drugs sexually active with the same partner for the past 1 year. doesn't use condoms. no history of blood transfussions retired mc employee - fire chief routine screening questions for abuse asked. patient stated that abuse is not an issue at the present time. habits exercises rarely uses seat belt most of the time preventive health history last physical exam 1 / 92 last mammogram 1 / 92 at educare - fargo by her report last pap smear 1 / 92 normal at educare - fargo by her report colonoscopy - never bone density test - never review of systems cardiopulmonary : occasional chest pain, denies shortness of breath, pnd, orthopnea, leg edema, palpitations heent : doesn't wear glasses, normal hearing genitourinary : denies dysuria, polyuria, vaginal discharge. occasional back pain lmp : 4 / 92 general : denies weight changes, fever, chills, night sweats. doesn't follow a diet, eats fast foods, regular sodas endocrino : denies dizzyness, diaphoresis gastrointestinal : denies diarrhea, constipation, abdominal pain, heartburn, nausea, vomiting, no rectal bleeding skin : no lesions, no hair loss neurological : no weakness, numbness, tingling after the strokes. recovered completely musculoskeletal : left leg pain every day and low back pain. wants celebrex. psychiatric : no anxiety, denies depression or suicidal thoughts but cries many times when confronted about depression all other systems are negative vital signs blood pressure 150 / 90 pulse 76 respiratory rate 14 temperature 97 f height 64 in weight 234 lb bmi 40. 2 physical exam alert,
******************
obese, unkempt, in no respiratory distress, tolerates decubitus normocephalic, no scalp lesions, wearing a wig. peerl, eomi, no jaundice in sclerae, no conjunctival hyperhemia. bilateral fundoscopy : sharp disks, no papilledema, no av nicking bilateral otoscopy : normal, no exudates, normal timpanic membranes. no sinus tenderness on palpation on percussion. bilateral rhinoscopy : normal oral mucosa moist, no oral thrush, no lesions, no masses throat : normal, no exudates or plaques, normal tonsils. neck : supple, no masses or adenopathies, normal thyroid palpation, no jvd, normal carotid pulses, no carotid bruit. lungs : n use of accesory muscles, no intercostal retractions, clear anteriorly and posteriroly to auscultation, no rhonchi, crackles or wheezes, normal percussion, no egophony. heart : regular, rhythmic, s1s2 normal, no s3 or murmurs. breast examination : large sized breasts, no masses, no skin lesions, no tenderness, no nipple discharges or axillary adenopathies. abdomen : lower midline surgical scar, no aortic bruit, soft, diffuse tenderness, no masses or organomegalies, bs ( + ), no rebound. no inguinal adenopathies or hernias, good femoral pulses. pelvic exam : athrophic external genitalia, no masses or lesions, normal hair distribution, no cystocele or rectocele. no masses, scaring or tenderness on urethra examination. stool seen on the rectal area speculum exam : normal looking cervix, closed oz, no vaginal discharge or lesions. pap smear taken, gc and chlamydia taken. bimanual exam : no cervical motion tenderness, no masses, no adnexal tenderness or masses, unable to feel uterine size due to obesity rectal exam : no external hemmorrhoids digital exam : no lesions, normal sphincter tone, guaiac stool negative ext : 1 + + edema left leg, orif midline large surgical scar seen, good pulses, normal skin, no varicosities
******************
skin : no lesions neurological : alert, oriented x 3, speech normal. cranial nerves normal, strenght 5 / 5 / bilateral symmetrical in upper and lower extremities. dtr 2 + + symmetrical, sensory intact, no pathological reflexes assessment physical exam remarkable for : 1. hypertension explained the pathophysiology of hypertension and the importance of goog blood pressure control explained the increased risk of cva, cad, eye and renal problems spoke about the need to quit smoking, loose weight, follow a low fat low carb diet. patient undesrtood recommended to follow a low salt diet and exercise regulalry will check a sma - 7, cbcm tsh and u / a to evaluate renal function continue taking hctz qd # 30 and 6 refills and follow up in 6 weeks for bp check. increase metroprolol to 50 mg bid # 60 and 6 refills increased risk for cad and needs to modify life style. 2. ho cerebrovascular accident she reports 4 strokes and no residual neurological deficit. declines coumadin. is on asa sometimes start plavix 75mg qd # 30 and 6 refills to decrease risk of cva again needs to quit smoking asap 3. obesity calculated bmi 40 obesity type 2 spoke about diet and exercise as the main steps to loose weigth. explained that obesity predisposes patients to develop diabetes mellitus, hypertension, cad, cva, strokes, osteoarthritis specially of the knees, colon cancer and breast cancer and endometrial cancer in woman encouraged the patient to increase the exercise to 5 - 7 times per week and 35 - 45 minutes of cardiovascular. change to diet sodas, and avoid fast foods completely increase the amount of vegetables and avoid carbohydrates, sugar products and follow a low fat diet check tsh, lipid profile and glucose 4. smoker recommendations to quit smoking spoke about increased risk for lung cancer, bladder cancer, cervical cancer, cad, cva on smokers spoke about nicotine patch, nicotine gum, zyban etc recommended the patient to use nicorette gum. referal to see georgia upshaw - smoking cessation counselour. she is not iterested on quitting 5. depression spent 25 minutes with her talking about depression. she was very quit at the beggining of the visit and denied depression even after finishing her visit. but she cried a lot
******************
##omi, oral mucosa moist, no lesions neck : supple, no masses or nodes, no jvd. lungs : clear anteriorly and posteriroly to auscultation, no rhonchi, crackles or wheezes heart : regular,. s1s2 normal, no s3 or murmurs abdomen : soft, no tenderness bs ( + ), no rebound ext : no edema, normal skin feet exam : normal ksin,. good dp, good capillary filling assessment 1. hypertension poorly controlled today continue lisinopril 5 mg qd # 30 and 3 refills increase metroprolol to 50 mg bid from qd and hctz 25 mg qd see me in 8 weeks to recheck bp check sma - 7 2. cerebrovascular accident uncontrolled htn smoking - active elevated ldl obese sedentary on statins. goal ldl &lt; 100 check lipid profile and lfts goal ldl &lt; 70 quit smoking - try nicorette gum. referal to see georgia upshaw - smoking cessation counselour plavix 75 mg qd 3. diabetes mellitus hba1c 7. 2 in 5 / 93 goal below 7 repeat hba1c and microalbuminuria due for eye exam. declines flu shot 4. osteopenia continue fosamax 35 mg q week, calcium and mvi plan follow up in 8 weeks _ _ _ _ _ _ _ _ _ _ _ _ _ _ _ _ _ _ _ _ _ _ _ _ _ _ _ _ _ _ _ _ _ _ _ _ _ _ _ _ _ _ _ _ _ victoria amy - armstrong, m. d.
******************
bid to 150 mg bid avandia ( rosiglitazone ) 4 mg ( 4mg tablet take 1 ) po qd lipitor ( atorvastatin ) 80mg tablet po qhs, dose increased from 40 to 80 mg today metformin 850mg tablet po tid, dose increased today from 500 mg tid to 850 mg tid. thanks vital signs bp 160 / 110, p 78, rr 14, temp 97 f, wt 249 lb physical exam alert, in no distress, obese, flat affect heent : oral mucosa moist, no lesions. throat clear neck : supple, no masses or nodes, no jvd. lungs : clear anteriorly and posteriroly to auscultation, no rhonchi, crackles or wheezes heart : regular,. s1s2 normal, no s3 or murmurs abdomen : soft, no tenderness bs ( + ), no rebound ext : no edema, normal skin feet exam : normal skin,. good dp, good capillary filling assessment 1. hypertension poorly controlled today hasn't taken her meds yet explained the importance of taking bp meds eraly am keep same meds and see me in 6 weeks continue metroprolol to 150 mg bid continue hctz 25 mg qd continue lisinopril to 40 mg qd see me in 2 weeks to recheck bp 2. cerebrovascular accident uncontrolled htn smoking - active elevated ldl obese sedentary on statins. goal ldl &lt; 100 goal ldl &lt; 70 plavix 75 mg qd 3. diabetes mellitus start checking glucose qd continue avandia 4 mg qd and metformin 850 mg tid goal below 7 repeat hba1c now and glucose nutritionist referal due for eye exam. ldl 134 on lipitor 40 repeat cholesterol and lipir profile today 4. osteopenia continue fosamax 35 mg q week, calcium and mvi plan follow up in 2 weeks _ _ _ _ _ _ _ _ _ _ _ _ _ _ _ _ _ _ _ _ _ _ _ _ _ _ _ _ _ _ _ _ _ _ _ _ _ _ _ _ _ _ _ _ _ victoria amy - armstrong, m. d.</t>
  </si>
  <si>
    <t>the text specifically mentions creatinine levels to be elevated, even though 1.1 ay be just at uppper normal limit for woman; this is a tricky one</t>
  </si>
  <si>
    <t>The patient has a history of paraesophageal hernia repair and PEG placement, which are forms of intra-abdominal surgery. Therefore, the patient meets the inclusion criterion regarding a history of intra-abdominal surgery.</t>
  </si>
  <si>
    <t>['atenolol 100mg', 'colace (docusate sodium) 100 mg', 'coumadin (warfarin sodium) 5 mg', 'ecasa (aspirin enteric coated) 81mg', 'glucophage (metformin) 1000mg', 'hydrochlorothiazide 25 mg', 'iron sulfate (ferrous sulfate) 325 mg', 'lisinopril 40mg', 'prilosec otc (omeprazole) 20 mg', 'simethicone 80 mg', 'trazodone 300 mg', 'zocor (simvastatin) 20 mg']</t>
  </si>
  <si>
    <t>The model rationale correctly identifies that the patient has undergone paraesophageal hernia repair and PEG placement, as noted in the evidence (chroma_id: '343_3_0'). However, these procedures are not typically classified as intra-abdominal surgeries involving the small or large intestine, as specified in the criterion definition. Therefore, the rationale only partially applies to the criterion definition.</t>
  </si>
  <si>
    <t>["343_3_0"]</t>
  </si>
  <si>
    <t>record date : 2095 - 04 - 03 leprosarium emergency dept visit kim, douglas jr 201 - 63 - 51 - 2 visit date : 04 / 03 / 95 the patient was seen primarily by me. presenting complaint : fall, right knee injury. history of presenting complaint : mr. killian is a very pleasant 54 - year - old gentleman, with a history of diabetes, who had a fall on december 18, 2094. at the time, he sustained an injury to his right knee which healed and then began to break down, and he developed a large wound which began draining and had foul odor. the patient had continued difficulty ambulating and presented to the emergency department for evaluation. the patient denies having any hardware in his knee. no history of osteomyelitis. no hardware. no history of peripheral neuropathy. review of systems : patient denies any fevers or chills. no nausea or vomiting. no abdominal pain. no chest pain or shortness of breath. patient is only complaining of difficulty ambulating secondary to the pain. past medical history : two patellar tendon repairs at educare - pullman in 2083, repair of a patellar fracture. recent diagnosis of diabetes, atrial fibrillation. hypertension, high cholesterol, and positive ppd. medications : please see nurses note for list of medications. allergies : penicillin ( rash ). social history and family history : the patient is a smoker. he does not drink alcohol. he works in engineering, and lives alone. family history is noncontributory. physical examination : general : patient is awake, alert, talking in full sentences, in mild distress secondary to pain. vital signs : afebrile, temperature 99. 3, respiratory rate 20, blood pressure 161 / 96, pulse 95. head : atraumatic. neck : supple. lungs : clear to auscultation. no wheezes, rales or rhonchi. heart : regular rate. no murmurs, gallops or rubs. abdomen : soft, nontender. skin : a large ulcer to the right knee, right over the patella, with significant amount of break - down necrotic tissue and purulent discharge with a foul odor. the depth of the wound is difficult to assess. intact motor function and sensation. full flexion and extension of the knee, and evidence of well - healed midline scar above the ulcer. neuro : intact with
******************
good pulses palpable throughout. laboratory evaluation : plain film of the right knee, ct of the right knee, and laboratory values done. laboratory values demonstrated a white count of 14, esr of 13, esrp of 2. 1. rest of the labs were normal except for an elevated glucose to 226. film of the knee shows patellofemoral arthritis with no evidence of osteomyelitis, no hardware seen. ct of the knee showed a superficial ulcer to the depth of the patellar tendon but the patellar tendon itself was intact. therapy rendered / course in ed : the patient was initially seen by orthopedic who felt that the ulcer was over the patellar tendon, at the site of prior surgeries, with no effusion or joint pain, and normal range of motion with joint involvement unlikely. we are all very hesitant to tap this knee and it will not be done at this time for fear of introducing infection into the joint. the patient is awaiting consultation by general surgery for probable admission and debridement in the operating room. the plan at this time was to hold off on antibiotics. blood cultures were sent. the patient is receiving iv fluids. consultations ( including pcp ) : orthopedics, general surgery. final diagnosis : knee ulcer. disposition ( including condition upon discharge ) : the patient was admitted and transitioned to ed obs, awaiting evaluation by the surgical service for probable admission. the patient is currently in stable and satisfactory condition, in obs awaiting surgery evaluation. _ _ _ _ _ _ _ _ _ _ _ _ _ _ _ _ _ _ _ _ _ _ _ _ _ _ _ _ _ _ _ _ _ _ _ vn983 / 2356 sherry perkins, m. d. sp79 d : 04 / 03 / 95 t : 04 / 04 / 95 dictated by : sherry perkins, m. d. sp79 * * * * * * * * not reviewed by attending physician * * * * * * * *
******************
record date : 2096 - 02 - 13 saint john valley health center 707 newburgh street sulphur, ar. 26822 859 - 168 - 0145 cc : f / up of rle ulcerations hpi : 55 yo male with f / up for rle ulcerations reporting a temp this past wednesday am to 101. 2. started keflex at home because he had some and took for 2 days. also, reports fs's have been above 200. changing dressings as directed. = = = = = = = = = = = = = = = = problems = = = = = = = = = = = = = = = = smoking s / p r knee surgery x 3 s / p tonsillectomy hypertension h / o + ppd in'70's, treated for 1 yr diabetes mellitus type 2 hypertriglyceridemia h / o paroxysmal afib vna 171 - 311 - 7974 = = = = = = = = = = = = = = = = medications = = = = = = = = = = = = = = = = atenolol 50mg 1 tablet ( s ) po qam coumadin ( warfarin sodium ) 5mg 1 tablet ( s ) po qpm ecasa ( aspirin enteric coated ) 81mg 1 tablet ( s ) po qd glucophage ( metformin ) 850mg 1 tablet ( s ) po bid glyburide 1. 25mg 1 tablet ( s ) po qd lisinopril 20mg 1 tablet ( s ) po qd percocet ( oxycodone + apap ) 325 - 5mg 1 tablet ( s ) po bid prn pain serax ( oxazepam ) 15mg 1 tablet ( s ) po qhs prn insomnia = = = = = = = = = = = = = = = = allergies = = = = = = = = = = = = = = = = penicillins unknown pex : vs : wt 196, bp 130 / 86, t 99. 2, p 76 regular wdwn male in nad. heent : anicteric sclerae. neck : supple, no jvd. lungs : cta. cv : irregularly irregular abd : soft, nt / nd, nl bs. ext : slow healing ulcers on
******************
rle with ongoing mild surrounding erythema a / p : 1. rle ulcerations, slow to heal, ongoing dressing changes as directed. will continue keflex 500 mg qid x 1 more week. percocet 5 / 325 1 tab po qhs - bid prn pain 2. dm, increase glyburide to 2. 5 mg po qd as directed. follow home fs as directed. quijada, m. d.
******************
record date : 2098 - 10 - 14 saint john valley health center 739 newburgh street sulphur, ar. 26822 cc : s / p foreign body removal and htn / afib management hpi : 58 yo male who presents back to clinic having undergone paraesophageal hernia repair and peg placement on 8 / 13 / 98. 9 / 25 had foreign body removed by dilatation by dr. doty secondary to esophageal stricture and placed on mech soft diet. doing well. denies any cp, sob, or abd pain. no fever. 10 / 13 inr 2. 4. = = = = = = = = = = = = = = = = problems = = = = = = = = = = = = = = = = smoking s / p r knee surgery x 3 s / p tonsillectomy hypertension h / o + ppd in'70's, treated for 1 yr diabetes mellitus type 2 elevated cholesterol h / o paroxysmal atrial fibrillation 427. 31 vna 171 - 311 - 7974 h / o drug abuse - patient prefers not to use any narcotics sleep disorder 09 / 23 / 97 colonoscopy normal fatty liver cataracts s / p paraesophageal hernia repair with peg 8 / 13 / 98 = = = = = = = = = = = = = = = = medications = = = = = = = = = = = = = = = = atenolol 100mg tablet po qd colace ( docusate sodium ) 100 mg ( 100mg tablet take 1 ) po qd coumadin ( warfarin sodium ) 5 mg ( 5mg tablet take 1 ) po qpm, none except wednesdays ecasa ( aspirin enteric coated ) 81mg tablet ec take 1 tablet ( s ) po qd glucophage ( metformin ) 1000mg tablet take 1 po bid hydrochlorothiazide 25 mg ( 25mg tablet take 1 ) po qd iron sulfate ( ferrous sulfate ) 325 mg ( 325 ( 65 ) mg tablet take 1 ) po qd lisinopril 40mg tablet take 1 po qd prilosec otc ( omeprazole otc ) 20 mg ( 20mg tablet dr take 1 ) po qd simethicone 80 mg ( 80mg tab chew take 1 ) po bid prn
******************
trazodone 300 mg ( 100mg tablet take 3 ) po hs zocor ( simvastatin ) 20 mg ( 20mg tablet take 1 ) po qhs = = = = = = = = = = = = = = = = allergies = = = = = = = = = = = = = = = = penicillins : rash pex : vs : wt 175, bp 122 / 82, p 80 regular, t 97. 9 wdwn older male in nad. heent : anicteric sclerae neck : supple, no jvd, no lad. lungs : cta. cv : rrr abd : soft, nt / nd. ext : no c / c / edema. a / p : 1. s / p hernia repair and peg placement with recent foreign body removal 9 / 25 due to esophageal stricture, doing well. mech soft diet as per surgery. f / up with dr. langley as scheduled. rtc if new or worsening symptoms. 2. htn, stable, no change in regimen. 3. paroxysmal afib, coumadin therapeutic without changes. 10 / 13 inr 2. 4. quijada, m. d.</t>
  </si>
  <si>
    <t>The patient has a history of diabetes and has been experiencing recent hyperglycemia with blood sugar levels in the 300 to 350 range, indicating poor control of her diabetes. Additionally, she has proteinuria, which can be a sign of kidney damage related to diabetes. These factors suggest that she is experiencing major complications from her diabetes, as proteinuria is a significant indicator of nephropathy, a major diabetes-related complication. Therefore, the patient meets the inclusion criterion for major diabetes-related complications.</t>
  </si>
  <si>
    <t>['metformin', 'prevacid', 'atorvastatin', 'sertraline', 'warfarin', 'lisinopril', 'ambien', 'levothyroxine', 'aspirin', 'colace', 'dulcolax']</t>
  </si>
  <si>
    <t>The model rationale correctly identifies proteinuria as a potential sign of nephropathy, a major diabetes-related complication. However, the evidence (chroma_id: '347_2_0') does not confirm nephropathy or any other major diabetes-related complications like amputation or retinopathy. The rationale assumes proteinuria alone is sufficient to meet the criterion without confirming nephropathy or other major complications.</t>
  </si>
  <si>
    <t>["347_2_0"]</t>
  </si>
  <si>
    <t>record date : 2095 - 08 - 21 bailey emergency dept visit darling, betty 785 - 67 - 87 - 3 resident history reviewed, the patient seen, interviewed, and examined by me. history of presenting complaint : briefly, the history is as follows : the patient is a 75 - year - old white female with past medical history significant for throat cancer, status post radiation therapy ; breast cancer, status post multiple lumpectomies ; non - insulin dependent diabetes mellitus, hypothyroidism, hypertension, and peripheral vascular disease with bilateral carotid stenosis - status post right carotid endarterectomy, who was seen earlier today at faith hospital after an episode of word finding difficulty associated with acute vision loss in her left eye while riding as a passenger in a car. the event was witnessed and reportedly there was severe word finding difficulty. the patient was transferred to the bailey memorial hospital emergency department for further evaluation and management. on arrival, she states her symptoms have largely resolved. evaluation at the outside facility included a head ct which reportedly revealed no events of acute hemorrhage. prior to transfer, she was treated with aspirin. review of systems : all systems reviewed are negative except per hpi. past medical history : as noted above. medications : klonopin, glyburide, coumadin, meclozine, timoptic ophthalmic drops, zestril, celebrex, and synthroid. allergies : no known drug allergies. social history and family history : the patient denies tobacco, alcohol, or any history of illicit drug use. she presently lives alone. family history is only notable for a sister with breast cancer. physical examination : well - developed, well - nourished, well - appearing female who appears in no acute distress. vital signs : temperature 96, blood pressure 167 / 84, pulse 92, respiratory rate 18, o2 saturations 100 % on room air. heent : normocephalic, atraumatic. pupils equal, round, and reactive to light. extraocular muscles intact. funduscopic exam reveals sharp disks bilaterally. neck : supple. lungs : clear to auscultation. heart : regular rate and rhythm with a 2 / 6 systolic murmur at the left sternal border. abdomen : soft, nontender, nondistended. neuro : awake, alert, and oriented x 3. speech clear and fluent and
******************
well articulated. motor 5 / 5 and symmetric throughout. reflexes 2 + with downgoing toes. cerebellar : finger - to - nose intact. gait not tested. laboratory evaluation : sma - 7 notable for glucose of 124. cbc : white count 8. 2, hematocrit 36. 3, platelets 379. coagulation profile notable for an inr of 2. 0. urinalysis benign. ekg : normal sinus rhythm at a rate of 70 with nonspecific t - wave changes. therapy rendered / course in ed : she is currently awaiting evaluation with an mri and mr angiogram of the head and neck. consultations ( including pcp ) : the patient was seen in consultation by neurology. final diagnosis : transient ischemic attack vs. cerebrovascular accident. disposition ( including condition upon discharge ) : the patient will be admitted to the neurology service for further evaluation and management. the patient is currently in stable condition. _ _ _ _ _ _ _ _ _ _ _ _ _ _ _ _ _ _ _ _ _ _ _ _ _ _ _ _ _ _ _ _ _ _ _ ya226 / 51903 omar im, m. d. oi23 d : 08 / 21 / 95 t : 08 / 21 / 95 dictated by : omar im, m. d. oi23 * * * * * * * * not reviewed by attending physician * * * * * * * *
******************
##oric needs. today's visit was with the patient, and her daughter ( phone number 507. 741. 8042 ). most recent laboratory studies, done 12 / 7 / 2095 : sodium 137, potassium 4. 8, chloride 95, bicarb 32, bun 22, creatinine 1. 0, calcium 9. 9, glucose 162. the patient has felt increasingly weak and debilitated, as her weight has decreased. review of systems : also remarkable for slight bright red blood per rectum within the last week. the patient's daughter describes that she had a normal colonoscopy in early 2095, at the richwood area community hospital. the patient's daughter will bring me these records at the next visit. past medical history : 1. cerebrovascular disease, as noted above. 2. throat cancer in early 2060s. status post xrt to the neck ( may have predisposed her to the severe carotid and vertebral disease ). 3. breast cancer. details unknown. will review at next visit. 4. diabetes, type ii. on glyburide. further details unknown. 5. siadh. will review hospital chart in detail. 6. hypertension. per neurology, goal blood pressure 140 to 170. 7. hypothyroidism. details unknown. recent tsh normal. 8. glaucoma. 9. anxiety. being followed by psychiatry on an active basis. this was apparently a large factor during her recent hospitalizations. 10. possible recent anemia. has not been evaluated thus far. medications : 1. lisinopril 40 mg p. o. q. d. 2. synthroid 100 mcg p. o. q. d. 3. lasix 10 mg p. o. qa m and qpm 4. glyburide 5 mg p. o. b. i. d. 5. colace 100 mg p. o. b. i. d. to t. i. d. 6. enteric - coated baby aspirin 81 mg p. o. q. d. 7. sodium chloride 1 g p. o. qa m via g - tube 8. timolol 0. 5 %, one drop to the right eye q. d. 9. prevacid 30 mg p. o. q. d. 10. normal saline 300 cc via g - tube after breakfast, lunch, and dinner
******************
to meet her caloric intake via the g - tube, since she is clearly not meeting it p. o. will try glucerna because of her diabetes history. the patient's daughter and the nutritionist are aware of her issues with vitamin k and coumadin, and they will discuss this further when she sees nutrition clinic in two days. 2. cerebrovascular disease. followed closely by neurology. no acute change in neuro status today. will continue coumadin. being followed closely by internal medicine for this. recent inr 1. 4. will adjust coumadin as advised by im nurse. 3. siadh. i need to review these records more closely, and try to make sure there is no other underlying disorder. in the meantime, her sodiums have been quite good recently. 4. diabetes. recent hyperglycemia, with sugars in the 300 to 350 range. most recently, with sugars in the 100 to 200 range over the past few days. continue glyburide 5 mg p. o. b. i. d. finger - sticks three to four times daily. further adjustments prn. our current goal is simply to maintain her sugars between 120 and approximately 220 to 250. once her dietary issues are stabilized, we can aim for slightly tighter control. wish to avoid hypoglycemia, given her troubles with p. o. intake. 5. recent history of bright red blood per rectum. daughter will bring me her recent colonoscopy report, and we will take it from there. 6. constipation. continue colace. add dulcolax prn. continue fleet enema prn by visiting nurse. if she does have chronic constipation, this may impact her appetite and her ability to eat successfully. 7. hypertension. currently in reasonable control. goal bp 140 to 170, systolic. initial severe hypertension this visit, attributed to anxiety, which clearly is a major issue for her. follow - up at next visit. 8. anxiety. followed by psychiatry. extensive reassurance given today to the patient. she is very concerned about her weight loss, as am i. i tried to reassure her that we would take this seriously and address it in a very rapid fashion. addendum - spoke with psych - they will start paxil 5 mg qd watch for worsening siadh and / or anthicholinergic side effects. 9.
******************
record date : 2097 - 11 - 30 cookson memorial home internal medicine room 960 50 wellesley rd darling, betty seattle, sc 84126 78567873 ( 121 ) 537 - 3484 11 / 30 / 97 chief complaint : hypertension, proteinuria, status post fall, reevaluate coumadin. history of present illness : urgent care visit for this 77 - year - old woman with the history of diabetes, multiple strokes, hypertension, hyperlipidemia, and multiple other issues. last week she was at saint joseph memorial hospital for an eye evaluation. it was a very very windy day. afterwards she was outside and a huge gust of wind knocked her over. her daughter fitzpatrick was with her and fitzpatrick herself actually had to hold on to something when the wind blew. there is no chest pain or presyncope, and no loss of consciousness either before, during, or after the episode. she struck her left trochanteric area, left deltoid area, and left eyebrow. she was taken to efh where she had a normal head ct. a single stitch was placed in the laceration along the lateral edge of her left eyebrow. she had films of her wrist and hips both of which were fine. she has bruising in these areas. other than some pain where the bruising is she feels entirely back to normal. she had marked hypertension up to 250. she was treated with hydralazine in the er, and was noted to have proteinuria with some hematuria. her blood pressure at home since then has been 180 and 210 systolic on her usual 40 mg daily of lisinopril. she is not on a beta - blocker currently. she has not had any episodes of chest pain. she does feel slightly more woozy than usual. medications : metformin 500 mg p. o. b. i. d., prevacid 30 mg p. o. q. d., atorvastatin 10 mg q. d., sertraline 50 mg q. d., warfarin, lisinopril 40 mg q. d., ambien 10 mg q. h. s. p. r. n., levothyroxine 100 mg p. o. q. d., aspirin, eyedrops, colace, and dulcolax. social history : she is looking forward to a good christmas. she is here today with her daughter
******************
wanted to stent lica, exceeded fluoro time. lipids : date : 11 / 96 : tc 183 tg 91 ldl 72 hdl 82, lipoprotein ( a ) :, homocysteine : 8. 7 hypercoagulable studies : date : esr : anticardiolipin igg / igm : negative 9 / 05 blood pressure : 12 / 15 / 97 - 3 / 5 / 98 : 141 - 194 / 58 - 76 ( with pulse between 56 and 70 ) diabetes : 2 / 97 : hba1c 8. 6 smoking : none other : s / p xrt for throat cancer ~ 30 years ago medications coumadin ( directed by internal medicine ) aspirin 81 lisinopril 40 atenolol 12. 5 ( started 11 / 97 ) atorvastatin 10 metformin 500 am / 1000 pm furosemide 10 ( started 12 / 97 ) multivitamin qd xalatan 1 drop ou qpm levothyroxine 100mcg qd ambien prn sleep sertraline 50 qd prevacid blood pressure in the left arm is 174 / 60. she appears well overall, but slightly anxious. cognitively, she appears unchanged ; her speech is fluent, with intact repetition and comprehension, and her recall of recent events ( corroborated by her daughter ) is good. pupils are equal and reactive, eomi, vfftc. face, tongue and palate are symmetric, but she is dysarthric ; glottal sounds worst. this sounds slightly worse than our previous visit. strength is full in all extremities ; her mild dysmetria is unchanged. her walk, always wide - based and slightly unsteady, appears mildly worse than our previous visit, but she is not using a cane, and is able to catch herself after mild stumbles. she is unable to tandem gait. impression : betty is a 78 year old woman with progressive cerebrovascular disease due to local radiation, plus diabetes, hypertension, hyperlipidemia. she is s / p left ica stents and right va angioplasty. her most significant vascular lesion is stenosis proximal to the ica stent, but there is no hint now of transient or orthostatic symptoms. my continued feeling is that we ought to focus on her controllable risk factors, such as diabetes, hypertension, hyperlipide</t>
  </si>
  <si>
    <t>The patient is currently taking aspirin (asa) 325mg daily, which is used for preventing myocardial infarction (MI). This meets the inclusion criterion for the use of aspirin for MI prevention.</t>
  </si>
  <si>
    <t>['asa (acetylsalicylic acid) 325mg', 'albuterol inhaler', 'atenolol 100mg', 'celexa (citalopram) 20mg', 'dyazide (triamterene 37.5 mg/hctz 25 mg)', 'flonase (fluticasone nasal spray)', 'flovent (fluticasone propionate) 44mcg', 'glucovance (glyburide/metformin) 2.5/500mg', 'lipitor (atorvastatin) 10mg', 'lisinopril 20mg', 'plavix (clopidogrel) 75mg', 'prednisone 10mg', 'singulair (montelukast) 10mg']</t>
  </si>
  <si>
    <t>The model rationale incorrectly assumes that the use of aspirin (asa) 325mg daily automatically meets the criterion for MI prevention. While the patient is taking aspirin, the evidence (e.g., chroma_id '348_0_0') does not specify that it is for MI prevention. Aspirin can be used for various indications, and without explicit evidence linking its use to MI prevention, the rationale is incomplete.</t>
  </si>
  <si>
    <t>["348_0_0", "348_1_0", "348_2_0", "348_3_0"]</t>
  </si>
  <si>
    <t>record date : 2067 - 12 - 06 chief complaint 1. cough is better. she uses the inhalers regularly. 2. funny taste in the mouth after she does the inhalers in the morning. no sore throat. she does rinse her mouth after the pulmicort. 3. no recurrence of the hand numbness. problems hypertension insomnia h / o cerebrovascular accident borderline aodm basal cell carcinoma medications vioxx ( rofecoxib ) 25mg, 1 tablet ( s ) po qd lotrisone cream ( betamethasone and clotri... apply cream top bid asa ( acetylsalicylic acid ) 325mg, 1 tablet ( s ) po qd allegra ( fexofenadine hcl ) 60mg, 1 tablet ( s ) po bid prn. lipitor ( atorvastatin ) 10mg, 1 tablet ( s ) po qd atenolol 100mg, 1 tablet ( s ) po bid : take 1 / 2 in morning and 1 in evening flonase ( fluticasone nasal spray ) 1 - 2 spray nas qd celexa ( citalopram ) 20mg, 1 tablet ( s ) po qd prilosec ( omeprazole ) 20mg, 1 capsule ( s ) po qhs dyazide ( triamterene 37. 5 mg / hctz 25 mg ) 1 capsule po qd lisinopril 10mg, 1 tablet ( s ) po qd albuterol inhaler 2 puff inh q4 - 6h prn. cough : use with chamber singulair ( montelukast ) 10mg, 1 tablet ( s ) po qhs pulmicort ( budesonide oral inhaler ) 2 puff inh bid plavix ( clopidogrel ) 75 mg po qd allergies sulfa - unknown penicillins - unknown social history married. her husband has alzheimer's. his moods are variable. she has been going to fitsport and exercising better. non - smoker. six children and six grandchildren. no alcohol in 30 years. prior alcohol dependence. her daughter, son - in - law and 18 month old twins are living in her house. her daughter, uber, in vietnam may come back for the holidays. her daughter, ingalls, lives in bourne - she is a variable cause of
******************
record date : 2068 - 06 - 01 chief complaint 1. she increased the lisinopril to 20mg. she is tolerating it well. no dizziness, no side effects. bp at home is excellent. 2. she is interested in starting an antioxidant, her friend used it and felt better. 3. skin lesions : left side of the face, left forearm. problems hypertension insomnia h / o cerebrovascular accident borderline aodm basal cell carcinoma medications vioxx ( rofecoxib ) 25mg tablet take 1 tablet ( s ) po qd lotrisone cream ( betamethasone and clotri... apply cream top bid asa ( acetylsalicylic acid ) 325mg tablet take 1 tablet ( s ) po qd allegra ( fexofenadine hcl ) 60mg capsule take 1 tablet ( s ) po bid prn lipitor ( atorvastatin ) 10mg tablet take 1 tablet ( s ) po qd atenolol 100mg tablet take 1 tablet ( s ) po bid, take 1 / 2 in morning and 1 in evening flonase ( fluticasone nasal spray ) 1 - 2 spray nas qd prilosec ( omeprazole ) 20mg capsule cr take 1 capsule ( s ) po qhs dyazide ( triamterene 37. 5 mg / hctz 25 mg ) 1 capsule po qd albuterol inhaler 2 puff inh q4 - 6h prn. cough, use with chamber singulair ( montelukast ) 10mg tablet take 1 tablet ( s ) po qhs plavix ( clopidogrel ) 75 mg po qd pulmicort ( budesonide oral inhaler ) 4 puff inh bid robitussin ac ( guaifenesin ac ) 5 ml to 10 ml po q4h prn. cough, ul5104263 celexa ( citalopram ) 20mg tablet take 1 tablet ( s ) po qd lisinopril 20mg tablet take 1 po qd allergies sulfa - unknown penicillins - unknown social history married. her husband has alzheimer's. he has gotten a little more'mellow'non - smoker. six children and six grandchildren. her daughter with her 2 year old twins, and other daughter, judd, are living with her
******************
. no alcohol in 30 years. prior alcohol dependence. review of systems ros - no chest pain, shortness of breath, no cough. mood is good. sleep is good. vital signs blood pressure 114 / 64 exam chest - clear to p and a cor - s1s2 normal no murmers, rubs or gallops abd - soft, nontender, no hepatosplenomegaly ext - no edema skin - raised, erythematous lesion near left angle of the jaw, raised verrucous lestion on left calf. disposition and plans 1. bp is under excellent control. continue atenolol, dyzide, lisinopril. f / u with me in 3 months, sooner for any problems. 2. asthma - under good control. 3. skin lesions : she will f / u with dr. kim. _ _ _ _ _ _ _ _ _ _ _ _ _ _ _ _ _ _ _ _ _ _ _ _ _ _ _ _ _ _ othel vidal, m. d.
******************
record date : 2068 - 09 - 26 reason for visit patient presents for pre - op physical exam. having left eye cataract surgery dr. janes on 10 / 04 / 68. feels well. problems hypertension insomnia h / o cerebrovascular accident borderline aodm basal cell carcinoma asthma hyperlipidemia procedures tonsillectomy medications asa ( acetylsalicylic acid ) 325mg tablet take 1 tablet ( s ) po qd allegra ( fexofenadine hcl ) 60mg capsule take 1 tablet ( s ) po bid prn atenolol 100mg tablet take 1 tablet ( s ) po bid, take 1 / 2 in morning and 1 in evening flonase ( fluticasone nasal spray ) 1 - 2 spray nas qd prilosec ( omeprazole ) 20mg capsule cr take 1 capsule ( s ) po qhs dyazide ( triamterene 37. 5 mg / hctz 25 mg ) 1 capsule po qd albuterol inhaler 2 puff inh q4 - 6h prn. cough, use with chamber plavix ( clopidogrel ) 75 mg po qd pulmicort ( budesonide oral inhaler ) 4 puff inh bid celexa ( citalopram ) 20mg tablet take 1 tablet ( s ) po qd lisinopril 20mg tablet take 1 po qd lipitor ( atorvastatin ) 10mg tablet take 1 tablet ( s ) po qd singulair ( montelukast ) 10mg tablet take 1 tablet ( s ) po qhs allergies sulfa - unknown penicillins - unknown assessment and plan 1. pre - op physical exam - ekg - labs : cbc, pt, ptt - completed form, see chart - will fax form once have lab results _ _ _ _ _ _ _ _ _ _ _ _ _ _ _ _ _ _ _ _ _ _ _ _ _ _ _ _ _ _ _ _ _ _ _ _ _ _ _ _ _ _ _ _ _ inez yelverton, np
******************
record date : 2070 - 04 - 02 chief complaint 1. feels pretty well. she had the mohs surgery on the left side of her face, it has gotten infected. 2. her husband, xin, has progressive dementia and that is difficult. problems hypertension on atenolol and lisinopril insomnia much better recently h / o cerebrovascular accident on aspirin and plavix basal cell carcinoma s / p mohs surgery in 3 / 2070 asthma well controlled with flovent and singulair. she uses prn albuterol hyperlipidemia on lipitor diabetes mellitus type 2 : started metformin 2069 checking blood sugars at home. medications asa ( acetylsalicylic acid ) 325mg tablet take 1 tablet ( s ) po qd flonase ( fluticasone nasal spray ) 1 - 2 spray nas qd prilosec ( omeprazole ) 20mg capsule cr take 1 capsule ( s ) po qhs albuterol inhaler 2 puff inh q4 - 6h prn. cough, use with chamber flovent ( fluticasone propionate ) 44mcg aerosol take 2 puff ( s ) inh bid dyazide ( triamterene 37. 5 mg / hctz 25 mg ) 1 capsule po qd plavix ( clopidogrel ) 75 mg po qd lipitor ( atorvastatin ) 10mg tablet take 1 tablet ( s ) po qd glucophage ( metformin ) 500mg tablet po bid atenolol 100mg tablet take 1 tablet ( s ) po bid, take 1 / 2 in morning and 1 in evening celexa ( citalopram ) 20mg tablet take 1 tablet ( s ) po qd lisinopril 20mg tablet take 1 po qd singulair ( montelukast ) 10mg tablet take 1 tablet ( s ) po qhs allegra ( fexofenadine hcl ) 60mg capsule take 1 tablet ( s ) po bid prn allergies sulfa - unknown penicillins - unknown social history marital status : married etoh : none for many years occupation : cashier, active in the community exercise : active liefstyle review of systems ros - no fever, chills, shortness of breath. she has ongoing cough. vital signs blood pressure 120 / 78 exam
******************
record date : 2071 - 11 - 17 chief complaint urso comes in with several days of : nausea, diarrhea ( 5 - 6 times ) with'everything going through her '. she has no vomiting. + abd cramping pain. no blood in the stool. she had low grade fever. in addition, she feels increased chest congestion, cough, productive of white sputum. her finger sticks at home are running at 280. no one at home has been sick. she had dental work done and received antibiotics about a month ago. problems hypertension : well controlled on dyazide, lisinopril and atenolol insomnia h / o cerebrovascular accident basal cell carcinoma asthma : on flovent and singulair. good control hyperlipidemia : on lipitor diabetes mellitus type 2 : on glucovance 2. 5 / 500 bid medications albuterol inhaler 2 puff inh q4 - 6h prn. cough, use with chamber atenolol 100mg tablet take 1 tablet ( s ) po bid, take 1 / 2 in morning and 1 in evening carmol 40 cream ( urea 40 % ) 1 application top qd, apply to thick skin on feet once a day celexa ( citalopram ) 20mg tablet take 1 tablet ( s ) po qd dyazide ( triamterene 37. 5 mg / hctz 25 mg ) 1 capsule po qd flonase ( fluticasone nasal spray ) 1 - 2 spray nas qd flovent ( fluticasone propionate ) 44mcg aerosol take 2 puff ( s ) inh bid glucovance ( glyburide / metformin ) 2. 5 / 500 mg po bid lipitor ( atorvastatin ) 10mg tablet take 1 tablet ( s ) po qd lisinopril 20mg tablet take 1 po qd plavix ( clopidogrel ) 75 mg po qd prednisone 10mg tablet take 4 po qd x 3 days, 2 po qd x 3 days, 1 po qd x 3 days tablet ( s ) po qam prn bronchitis serevent diskus ( salmeterol diskus ) 1 puff inh bid singulair ( montelukast ) 10mg tablet take 1 tablet ( s ) po qhs triamcinolone ointment</t>
  </si>
  <si>
    <t>while the patient takes asa meds, this may be for multiple reasons (aches due to carcinona)</t>
  </si>
  <si>
    <t>The patient is taking multivitamins and calcium, both of which are commonly considered dietary supplements. Therefore, the patient meets the inclusion criterion for having consumed a dietary supplement in the past 2 months.</t>
  </si>
  <si>
    <t>['multivitamins', 'calcium 500 mg']</t>
  </si>
  <si>
    <t>The model rationale correctly identifies that the patient is taking multivitamins and calcium, both of which are commonly considered dietary supplements. This aligns with the criterion definition, which states that substances commonly used as dietary supplements should be considered as such. The evidence from chroma_id '368_1_0' confirms the patient is taking 'mvi (multivitamins)' and 'calcium 500 mg', supporting the model's conclusion.</t>
  </si>
  <si>
    <t>["368_1_0"]</t>
  </si>
  <si>
    <t>record date : 2094 - 09 - 02 name : espinal, sandra mrn : 4718200 medications : per lmr. medications prilosec ( omeprazole ) 20mg, 1 capsule ( s ) po bid clonazepam 0. 5mg, 1 tablet ( s ) po bid x 30 day ( s ) prn prn anxiety, up to bid bromfed - pd blank take 1 cap po q 12 hours prn prozac ( fluoxetine hcl ) 20mg, 2 capsule ( s ) po qd glucovance ( glyburide / metformin ) 2. 5 - 500mg, 2 tablet ( s ) po bid cozaar ( losartan ) 50mg, 2 tablet ( s ) po qd vioxx ( rofecoxib ) 25mg, 1 tablet ( s ) po bid x 15 day ( s ) norflex ( orphenadrine citrate ) 100mg, 1 tablet ( s ) po q12h s : ( 1 ) patient here complaining of increased neck pain with paresthesias of her left arm and tingling of her third and fourth left fingers. this often occurs at the end of the week, when has been at the computer all week and then has to take her vioxx and norflex for the next two or three days, into the weekend. patient becoming very frustrated regarding this. did not keep follow - up with dr. espinosa, the neurosurgeon she initially saw. ( 2 ) diabetes : patient had her first eye exam yesterday with dr. dunn, who actually is an optometrist. he is referring her to a retinal specialist, due to a question of cystoid macular edema, due to diabetic retinopathy and some possible borderline intraocular pressures. the patient is very concerned regarding this. is worried about her heart and kidneys, now that she is having problems with her eyes. is trying to stick to her diet, but is worried. blood sugars at home have been mostly in the 200's, occasionally high 100's. patient does not bring her record with her. o : patient refuses to be weighed. bp, ra sitting 128 / 90. lungs : clear to a &amp; p. cor : ap 96, nsr. positive tenderness and spasm to left trapezius muscle. feet : no lesions. dorsalis pedis pulses 2 +
******************
bilaterally. a / p : ( 1 ) chronic neck and shoulder pain with intermittent paresthesias, with mri showing some chronic degenerative changes, but also mild impingement of the subarachnoid space, possibly even at the cord at c5 - 6. lengthy discussion with patient regarding this being chronic problem and need to follow up with dr. espinosa. will refer to p. t., not only for therapy, but also to re - evaluate ergonomics of her work site, as this may help. continue all other medications, with ice, heat and home exercises. consulted with dr. moses, who suggested a tens unit may be helpful. will discuss further with patient. ( 2 ) aodm : now with diabetic retinopathy. lengthy discussion of 20 to 30 minutes with patient regarding implications of this, as well as need for better diabetic control, especially, as poorly - controlled diabetes is quietly harming both her heart and her kidneys, as well as her blood vessels. patient seems more motivated now to try to adhere to diet and exercise. refer to dr. larry kowalski, a retinal specialist, as soon as possible. patient promises to do her bloodwork for her rft's, fasting lipids, fbs, hemoglobin a1c, as well as urine microalbumin. will follow up with dr. moses and with me afterwards. ursula delgado, anp ud / reece / locke
******************
record date : 2096 - 01 - 26 s / 56 yo female here for fu elevated bp. 2 days ago had bp checked here and was 160 / 88 ; pt. quit upset at the time. has not connected with a psychiatrist or counselor and remains on prozac with klonopin prn. feels less agitated today, calmer. denies any problems with atenolol which she has been on for ~ 10 days after her last episode of migraine. medications asa ( acetylsalicylic acid ) 325mg, 1 tablet ( s ) po qd cozaar ( losartan ) 100mg, 1 tablet ( s ) po qd mvi ( multivitamins ) 1 capsule po qd calcium 500 mg tid prozac ( fluoxetine hcl ) 20mg, 1 capsule ( s ) po qd glucovance ( glyburide / metformin ) 2. 5 - 500mg, 2 tablet ( s ) po bid norflex ( orphenadrine citrate ) 100mg, 1 tablet ( s ) po q12h x 2 day ( s ) prn. neck spasm prilosec ( omeprazole ) 20mg, 1 capsule ( s ) po bid prn. tylenol # 3 ( acetaminophen w / codeine 30mg ) 1 tab po q hs prn for pain clonazepam 0. 5mg, 1 tablet ( s ) po bid prn prn anxiety, up to bid : called in to page, michael today ; pt. to be informed she is not to miss her next appt. hard copy faxed to pharmacy. neurontin ( gabapentin ) 300mg, 2 capsule ( s ) po qhs x 30 day ( s ) vioxx ( rofecoxib ) 25mg, 1 tablet ( s ) po qd - bid prn. : called in to page, michael today ; pt. to be informed she is not to miss her next appt. hard copy faxed to pharmacy. atenolol 50mg, 1 tablet ( s ) po qd x 30 day ( s ) problems diabetes mellitus : adult - onset hypertension dyspepsia : gerd f / h breast cancer : mother s / p tubal ligation neck pain : mri c - spine ( 3 / 15 / 94 ) djd, disc osteophyte at c5 - 6
******************
complex migraine : 1. admitted to ddch in 2090 with transient visual changes in her left eye and superior lateral visual field, accompanied by left hand, wrist, and left upper lip numbness : no intra - cranial bleed on ct. neg. holter, tcd's, cni's, cardiac tte. mra and mri showed no flow defects. hypercoag. w / u included normal pt / ptt, prot. c ( slightly elev'd ) and s, anti - thrombin iii, factor v leiden, and lupus anti - coagulant. 2. oct.'94 w / visual and repeat face and arm sx's - - neg. head ct, neg. prothrombin gene, normal homocysteine level, neg. ana. cni's with minimal disease at bilat. bifurcations. tcd's normal. 3. evaluated by dr. umberto xuan, 2 /'95. diabetic retinopathy obsessive compulsive disorder depression / anxiety hyperparathyroidism : 1 / 96 - - ca + + - 10. 7, pth - 104 both elevated. allergies * seldane - unknown lipitor ( atorvastatin ) - myalgias le's has appts. for eval. of her parathyroid nodules and appt. with neuro for her back pain. o / pt. appears calmer bp 146 / 80 r l 136 / 80 lungs - - clear ap 88 nsr a / p 1 ) htn - - bp elevated, partially due to increased agitation. per consult with dr. ito - - increase atenolol to 50 mg qd. re - check bp next wk. 2 ) ocd / depression - - needs psych eval. to re - assess meds ; may increase prozac ( per dr. ito ) but disc. with pt. and decided to wait on this. counseled pt. re benefit of having a psych. involved and she agrees to check into this with her insurance. fu 1 wk. check bp, depression. has fu dr. ito after specialists'appts.
******************
##m 1mg tablet take 1 po bid prn prn anxiety, up to bid not taking humalog ( insulin lispro ) variable sc tid, ac, 2u for bs 150 - 200, 3u for bs 200 - 300, 4u for bs 300 - 400 neurontin ( gabapentin ) 300mg capsule take 1 po tid x 30 days not taking lactulose 30 ml po qid prn constipation x 30 days lantus ( insulin glargine ) 60 units sc qam losartan 50 mg ( 100mg tablet take. 5 ) po qd not taking synalar 0. 025 % cream ( fluocinolone 0. 025 %... topical top bid prn arm lesions x 10 days, use with occlusion x 3 - 4 nights nystatin elixir ( nystatin suspension ) 10 ml po qid percocet ( oxycodone + apap ) 5 / 325 po q4h prn pain x 15 days zyprexa - -? dose recently started by dr. pagan, psych. allergies terfenadine - unknown lisinopril - cough, atorvastatin - myalgias, myalgias le's, continues on chemotherapy for ovarian and probable pancreatic cancer ; feels well, denies any sob, cp, or change in bowels ; takes percocet for pain hs - - bid as needed, often severe foot / le pain after chemo.. main co is extreme fatigue with most any activity and not feeling rested even after sleeping well hs. feels prednisone which pt. takes during chemotherapy helps with increased energy. has ct of abd. / pelvis / chest scheduled for this afternoon. l arm and leg weakness better with pt and speech improved as well ( was slurring words ) ;? probable stroke as cause. co r knee pain s / p fall 4 mos. ago, seems to be getting worse, hurts with walking - - taking 6 ecotrin a day for this pain! aodm - - eating anything she wants, checking bs's occ., mostly &gt; 200's, rarely 300's, taking insulin as directed. off all bp meds depression / ocd - - sees dr. pagan, psych. in elkton and has good relationship with him ; he recently started her on zyprexa (? dose )
******************
and pt. feeling much better with this in addition to her zyprexa. o / pt. in good spirits although realistic re prognosis refuses to be weighed but has obviously put on weight and appears well bp 120 / 70 weight - - refuses lungs - - clear to a &amp; p cor - - ap - - 100 nsr le's - - r knee - no swelling, redness or warnth ; from, + tenderness to palpation medial aspect results 09 / 04 / 2097 na 134 ( l ), k 4. 6, cl 98 ( l ), co2 28. 6, bun 12, cre 0. 7, glu 404 ( h ) 09 / 04 / 2097 ca 9. 7, mg 1. 4, tbili 0. 2, tp 7. 6, alb 4. 0, glob 3. 6 09 / 04 / 2097 alt / sgpt 53 ( h ), ast / sgot 30, alkp 80, tbili 0. 2 09 / 04 / 2097 wbc 6. 2, rbc 3. 73 ( l ), hgb 12. 2, hct 35. 3 ( l ), mcv 95, mch 32. 7, mchc 34. 6, plt 199 09 / 04 / 2097 rdw 17. 4 ( h ) 09 / 04 / 2097 ca125 34. 5 [ 1 ], ca19 - 9 17 [ 2 ] last hbga1c 3 / 97 - 8. 30 a / p 1 ) ovarian / probable pancreatic cancer with mets to liver on ct 7 / 97 - - supportive disc. re goals, pt.'s da is pregnant and due in dec and pt. would like to enjoy her 1st grandchild for " awhile ". fu as planned with dr. hood. 2 ) aodm - - not adhering to diet which is not priority now for pt. and eating is keeping her weight up. did advise some restraint and pt. is aware of limits and will continue with insulin 3 ) htn - - bp remains in good range off meds 4 ) r knee pain s / p fall 4 mos. ago - - check r knee film, pt. will do so at another day due to ct appt. advised taking percocet 5 / 325 1 - 2 q 4 - 6 hrs. for this pain as well instead of 6 ecotrin as stomach bleeding possible</t>
  </si>
  <si>
    <t>the temporal constrained is assumed to be satisfied</t>
  </si>
  <si>
    <t>The patient's most recent HbA1c value is reported as 10.7%, which is above the upper limit of the inclusion criterion (9.5%). Therefore, the patient does not meet the criterion for HbA1c levels.</t>
  </si>
  <si>
    <t>['asa 325mg qd', 'prozac 20mg qd', 'prilosec 20mg bid prn', 'losartan 100mg qd', 'clonazepam 0.5mg po bid prn', 'nystatin powder bid x 15 days', 'nystatin cream bid x 15 days', 'hctz 25 mg qd', 'neurontin 300mg tid', 'insulin 70/30 80 qam', 'insulin 70/30 70 qpm', 'simvastatin 20 mg qhs']</t>
  </si>
  <si>
    <t>The model rationale correctly identifies that the patient's HbA1c value is 10.7%, which is above the upper limit of the inclusion criterion (9.5%). This is supported by evidence from chroma_id '368_2_0', which states the HbA1c value as 10.7%. Therefore, the rationale is logically complete and aligns with the criterion definition.</t>
  </si>
  <si>
    <t>["368_2_0"]</t>
  </si>
  <si>
    <t>bilaterally. a / p : ( 1 ) chronic neck and shoulder pain with intermittent paresthesias, with mri showing some chronic degenerative changes, but also mild impingement of the subarachnoid space, possibly even at the cord at c5 - 6. lengthy discussion with patient regarding this being chronic problem and need to follow up with dr. espinosa. will refer to p. t., not only for therapy, but also to re - evaluate ergonomics of her work site, as this may help. continue all other medications, with ice, heat and home exercises. consulted with dr. moses, who suggested a tens unit may be helpful. will discuss further with patient. ( 2 ) aodm : now with diabetic retinopathy. lengthy discussion of 20 to 30 minutes with patient regarding implications of this, as well as need for better diabetic control, especially, as poorly - controlled diabetes is quietly harming both her heart and her kidneys, as well as her blood vessels. patient seems more motivated now to try to adhere to diet and exercise. refer to dr. larry kowalski, a retinal specialist, as soon as possible. patient promises to do her bloodwork for her rft's, fasting lipids, fbs, hemoglobin a1c, as well as urine microalbumin. will follow up with dr. moses and with me afterwards. ursula delgado, anp ud / reece / locke
******************
record date : 2096 - 07 - 27 team b intern admit note name : sandra espinal mr # : 4718200 date : 7 / 26 / 96 pcp : kelsey ito neuro : umberto xuan cc : fall with loc hpi : pt is a 56 yo woman with a pmh significant for multiple cardiac risk factors, including iddm, with a hba1c of 10. 7 earlier this month, htn, hyperlipidemia, whose insulin dose was increased 3 weeks ago. her blood sugars have subsequently been low, reaching the 50s on several occasions. at these times, she experiences diaphoresis and dizziness. the pt took her morning insulin as usual, ate her normal breakfast, and at 4 : 30pm was walking to the kitchen when she got dizzy and felt her legs turn to jelly. she felt herself falling, yelled out to her son and landed on her left arm. she lost consciousness. her son found her unresponsive and witnessed her vomit twice, drool, mumble and lose bladder continence. she regained consciousness a few minutes later and was placed in an ambulance, where her bs was found to be 91. she was brought to the ddch ed, where plain films showed a fractured left humerus and a head ct was negative for bleed. she denies cp, sob or palpitations. at baseline, the pt is able to walk one mile and climb three flights of stairs without sob or cp. pmhx : dm - insulin dependent - adult onset - hba1c 10. 7 ( 7 / 96 ) - diabetic retinopathy htn gerd degenerative joint disease migraine - accompanied by visual changes and left arm numbness - workup has been negative including carotid non - invasives with minimal disease at bilateral bifurcations and trans - cranial dopplers with mild left mca stenosis. hypercoag workup normal other than slightly elevated protein c. ocd depression anxiety hyperparathyroidism - pth max 104 ( 1 / 96 ) - s / p partial resection tubal ligation meds : asa 325mg qd prozac 20mg qd prilosec 20mg bid prn losartan 100mg qd clonazepam 0. 5mg po bid prn anxiety nystatin powder bid x 15 days nystatin cream bid x 15 days hctz 25 mg qd neurontin 300mg tid
******************
insulin 70 / 30 80 qam 70 qpm ( recently increased ) simvastatin 20 mg qhs allergies : terfenadine, lisinopril ( cough ), atorvastatin ( le myalgias ) shx : works as teller at first hawaiian bank, denies tobacco, occasional etoh, denies drugs. fam hx : dm - mother and father pe : afebrile, 120 / 70, 80, 16, 98 % on ra gen : nad, overweight, alert, oriented to person and place, knows the year but not the month, short term memory decreased heent : jvp flat, no carotid bruits heart : rrr, no murmurs lungs : cta b abd : soft, non - tender, pos bs ext : left arm in sling, pulse and sensation intact distally labs : 137 107 8 / 88 10. 6 \ / 338 3. 3 25. 8 0. 6 \ / 34. 6 \ ( 35. 4 in 2 / 96 ), nl mcv fe 70, ferritin 43, tibc 298 cardiac enzymes negative times one. ca 9. 6, phos 3. 8, mg 1. 4 coags normal. ldl 187, hdl 40 tsh 3. 5 esr 60 ( 7 / 76 ) urine microalbumin 6. 8, microalb / cr ration 76. 4 ana neg ( 10 / 94 ) studies : plain film humerus - fracture through the diaphysis of the left humerus. there is lucency which could represent underlying lesion. cxr - nad head ct - negative 10 / 90 - stress - 7 mets - no chest pain, no ecg changes, imaging - apparently reversible anterior defect - likely breast attenutation 5 / 90 - echo - ef 75 %, no valvular abnl. egd - 11 / 93 - erythematous gastropathy assessment : 56 yo woman with chronically high blood sugars, who now, in the setting of recently increased insulin and low blood sugars, presents with fall and loc, likely a hypoglycemic seizure. plan : syncope - most likely etiology hypoglycemic seizure. given pt's markedly elevated hba1c, blood sugars likely very high chronically. now with tight glycemic control, including blood sugars in the 50s, pt likely
******************
seized. other worrisome etiologies would include cardiac - has multiple risk factors, but no data supporting cad ( enzymes negative, ecg no change, no signs / symptoms of chf, no valvular disease, no history of arrhythmias ) will continue rule out mi. don't think tte necessary. also, could be cerebrovascular disease, although imaging of cerebral vasculature has been mostly normal. head ct negative for bleed. will discuss eeg with pt's neurologist in am. left humerus fracture - reduction by ortho in ed. pt should sleep in upright position ( per ortho ). percocet for pain control. dm - have cut pt's home insulin in 1 / 3 ( do not want to run too low ). ssi for additional coverage. htn - cont outpt anti - hypertensives. anemia - stable - iron not deficient. hyperlipidemia - cont statin. prophylaxis - nexium, fragmin vs ambulation. umberto gibbons, md 84776
******************
and pt. feeling much better with this in addition to her zyprexa. o / pt. in good spirits although realistic re prognosis refuses to be weighed but has obviously put on weight and appears well bp 120 / 70 weight - - refuses lungs - - clear to a &amp; p cor - - ap - - 100 nsr le's - - r knee - no swelling, redness or warnth ; from, + tenderness to palpation medial aspect results 09 / 04 / 2097 na 134 ( l ), k 4. 6, cl 98 ( l ), co2 28. 6, bun 12, cre 0. 7, glu 404 ( h ) 09 / 04 / 2097 ca 9. 7, mg 1. 4, tbili 0. 2, tp 7. 6, alb 4. 0, glob 3. 6 09 / 04 / 2097 alt / sgpt 53 ( h ), ast / sgot 30, alkp 80, tbili 0. 2 09 / 04 / 2097 wbc 6. 2, rbc 3. 73 ( l ), hgb 12. 2, hct 35. 3 ( l ), mcv 95, mch 32. 7, mchc 34. 6, plt 199 09 / 04 / 2097 rdw 17. 4 ( h ) 09 / 04 / 2097 ca125 34. 5 [ 1 ], ca19 - 9 17 [ 2 ] last hbga1c 3 / 97 - 8. 30 a / p 1 ) ovarian / probable pancreatic cancer with mets to liver on ct 7 / 97 - - supportive disc. re goals, pt.'s da is pregnant and due in dec and pt. would like to enjoy her 1st grandchild for " awhile ". fu as planned with dr. hood. 2 ) aodm - - not adhering to diet which is not priority now for pt. and eating is keeping her weight up. did advise some restraint and pt. is aware of limits and will continue with insulin 3 ) htn - - bp remains in good range off meds 4 ) r knee pain s / p fall 4 mos. ago - - check r knee film, pt. will do so at another day due to ct appt. advised taking percocet 5 / 325 1 - 2 q 4 - 6 hrs. for this pain as well instead of 6 ecotrin as stomach bleeding possible
******************
with increased asa use - - new script for percocet provided # 120 nr 5 ) l sided weakness and speech slurring much improved? stroke, continue with pt as planned. fu with dr. ito as planned 10 / 97 sooner if problems. _ _ _ _ _ _ _ _ _ _ _ _ _ _ _ _ _ _ _ _ _ _ _ _ _ _ _ _ _ _ _ _ _ _ _ _ _ _ _ _ _ _ _ _ _ ursula victoria delgado, anp</t>
  </si>
  <si>
    <t>multiple a1c values; some above 10, one (8.3) within required range</t>
  </si>
  <si>
    <t>The patient has a history of diabetes mellitus type 2 and is currently taking glucovance, which is a medication for diabetes management. Additionally, the clinical notes indicate that the patient has issues related to diabetes, including elevated glucose levels and potential complications such as kidney damage (indicated by microalbumin levels). The presence of multiple conditions, including hypertension and cognitive dysfunction, suggests a severe case of diabetes, which aligns with the inclusion criterion for major diabetes-related complications.</t>
  </si>
  <si>
    <t>['calcium + d', 'cardizem cd', 'coumadin', 'digoxin', 'doxazosin', 'folate', 'glucovance', 'lasix', 'metoprolol tartrate', 'potassium chloride', 'prinivil', 'zocor']</t>
  </si>
  <si>
    <t>The model rationale correctly identifies the presence of diabetes and potential complications such as kidney damage indicated by elevated microalbumin levels (chroma_id: 373_3_1). However, it incorrectly assumes that hypertension and cognitive dysfunction alone imply a severe case of diabetes without clear evidence of major complications like nephropathy or retinopathy. The evidence does not confirm these specific major complications, making the rationale only partially applicable to the criterion definition.</t>
  </si>
  <si>
    <t>["373_3_1"]</t>
  </si>
  <si>
    <t>record date : 2083 - 09 - 10 woodstock e intern admit note patient : jimenez, youssef lch unit number : 055 47 33 date of admission : 09 september 2083 attending physician : nathan yearwood, md room : woodstock 5599 u code status : full pcp : charles eggers, md of seminole oncologist : ernest byers, md source : patient chief complaint : doe history of the present illness : patient is a 74 year - old man with stage iiib hodgkins disease s / p abvd, htn, dm, s / p cva who presents with 2 - 3 weeks of doe, orthopnea, and pnd. pt denies cp, dyspnea at rest, palpitations, syncope, lightheadedness. the patient also denies f / c, night sweats, weight changes, cough, n / v, abd pain, diarrhea, constipation, dysuria. past medical / surgical history : stage iiib lyphocyte depleted, diffuse fibrosis type hodgkins lymphoma diagnosed 10 / 80 s / p 6 cycles of abvd ( last 4 / 81 ) thyroid nodule ( left lower pole ) s / p fna no malignant cells diabetes mellitus hyperplastic colonic polyp and internal hemorrhoids lacunar cva in 3 / 78 for which he is maintained on coumadin, no residuals 50 - 70 % occlusion of r ica htn echo 10 / 2080 : trace mr, trace ai, ef 67 %, trace tr, rvsp 31 mmhg hypercholesterolemia ( 10 / 80 chol 49, trig 148, hdl 3, ldl 16 ) allergies : no known drug allergies medications : coumadin 8. 5 mg qd folate 1 mg qd zantac 150 mg bid glyburide bid social history : occupation - retired network operator tobacco - quit 20 years ago, 10 pack - yr history alcohol - rare illicit / iv drugs - denies lives next to wife ( separated ) and down the street from daughter family history : non - contributory review of systems : please see pertinent positives and negatives in hpi. physical examination : 97. 9 98 180 / 60 22 96 % on 2l general - well appearing, well nourished patient in nad, appropriate heent - normocep
******************
##halic, atraumatic, perrla, anicteric, moist mucous membranes, no jvd pulmonary - decrease bs at r base, no crackles cardiac - regular rate and rhythm, s1 and s2 normal, no murmurs abdomen - soft, non - tender, non - distended, active bowel sounds extremity - no cyanosis, clubbing, or edema, 2 + and equal distal pulses neurology - aaox3 skin - no worrisome rashes or lesions data : chemistries : na 138 k 3. 6 cl 106 hco3 26. 9 bun 13 cr 0. 9 glucose 163 ca 8. 8 phos 2. 8 mg 1. 7 alt 27 ast 24 alkp 81 tbili 0. 5 dbili 0. 1 alb 3. 5 amylase 25, lipase 3. 7 blood counts : wbc 8. 8 hct 38. 2 plts 264 pt 19 inr 2. 4 microbiology : u / a : nitrite ( - ), 0 - 2 wbc, no bacteria radiology : cxr : enlarged cardiac silhouette likely technically related, b / l pleural fluid collections r &gt; l with bibasilar atelectasis cardiogram : atrial fibrillation @ 115 bpm, nl interval, nl axis, 0. 5 mm st segment depressions in v5 - v6 assessment : patient is a 74 year - old man with stage iiib hodgkins disease s / p abvd, htn, dm, s / p cva who presents with 2 - 3 weeks of doe, orthopnea, and pnd with new onset a - fib with rvr and b / l pleural effusions. plan : 1. doe : concern is new cardiomyopathy with failure secondary to adriamycin toxicity, nl echo in 2080 - check tte tomorrow ( also access for thrombus although pt already anticoagulated ) - currently clincially euvolemic, no diuresis for now 2. new onset avr with rvr : possible etiologies : - new ischemia ( cardiac enzymes neg x 3, no ekg changes ) - chf ( see above discussion ) - pulm disease ( cxr w / b / l small pleural effusions ), could be pulm tox secondary to chemo - thyrotox
******************
record date : 2086 - 09 - 24 patient name : jimenez, youssef i [ 0554733 ( lch ) ] date of visit : 09 / 24 / 2086 reason for visit new primary care former : wesley carroll md, seminole, ri chief complaint " slowing down " history of present illness accompanied by daughter and wife, from whom he is separated. complex history. family has noted slowing mobility, memory difficulties, change in speech, over past year. has remote hx stroke. no specific recent tia symptoms. still driving but mostly during the day though has gotten lost. no recent accidents. gets help from family with some iadl's. no safety concerns around meds, household issues. gait noted to be slower and more deliberate. no falls. no tremor, sz hx. no etoh consumption. problems hypertension congestive heart failure cerebrovascular accident hyperlipidemia atrial fibrillation diabetes mellitus type 2 hodgkins disease : followed by dr. ernest byers hyperplastic polyp thyroid nodule : negative biopsy abdominal aortic aneurysm medications calcium + d ( 500 elem. ca ) ( calcium carbonate 1250 mg ( 500mg elem ca ) / vit d 200 iu ) ) 1 tab ( 500mg - 200 tablet ) po qd cardizem cd ( diltiazem cd ( 24 hr caps ) ) 300 mg ( 300mg cap. sr 24h take 1 ) po qd coumadin ( warfarin sodium ) 6 mg ( 6mg tablet take 1 ) po qpm digoxin 0. 25 mg ( 0. 25mg tablet take 1 ) po qd doxazosin ( doxazosin ) 1 mg ( 1mg tablet take 1 ) po q hs folate ( folic acid ) 1mg tablet take 1 tablet ( s ) po qd glucovance ( glyburide / metformin ) 5 / 500 mg po bid lasix ( furosemide ) 20 mg ( 20mg tablet take 1 ) po qd metoprolol tartrate 50 mg ( 50mg tablet take 1 ) po qd potassium chloride sustained release tab 40 meq ( 10meq tablet sa take 4 ) po qd prinivil ( lisinopril ) 40 mg ( 40mg tablet take 1 ) po qd zocor ( simvastatin ) 80 mg ( 80mg tablet take 1 ) po qhs aller
******************
babinski, ankle jerks abset ; gait with normal speed and en bloc turn, dec. step height ; cogent conversation, language fluent but brief contextual responses. no aphasia. significant visuospatial disorganization. 2 / 6 at 5 mins. moderate executive dysfunction. mild perseveration. no frontal signs. no agnosia. mse : see separate note from today psych euthymic assessment and plan old records requested. numerous issues. diabetes. check glycohgb, microalbumin. podiatry and ophthalmology evals. cognitive dysfunction. suspect on vascular basis given prior stroke and longstanding severe htn with small vessel disease. plan mri of brain for further characterization? scca of nose. derm referral. l carotid bruit. given known cerebrovascular disease needs nics cardiac. obtain old records from cardiologist. recent echo and stress evals. voiding dysfunction. check psa. likely bph but could relate in part to cognitive issues. begin alpha blocker as he needs better bp control as well. return in mo. level minutes * * * * * * * * * * * * * * * * * * * * confidentiality notice * * * * * * * * * * * * * * * * * * * * * * * * this electronic, facsimile, or mail transmission may contain confidential information which is protected by physician / patient privilege. this information is intended only for the use of the individuals or entities named above. if you are not an intended recipient, you are hereby notified that any disclosure, copying, or distribution of this information is strictly prohibited by law. if you have received this transmission in error, please notify us by telephone at once. _ _ _ _ _ _ _ _ _ _ _ _ _ _ _ _ _ _ _ _ _ _ _ _ _ _ _ _ _ _ william b. dodd, m. d.
******************
13 / 2082 see report in results psa 09 / 24 / 2086 2. 28 urine culture 09 / 24 / 2086 see report in results triglycerides 09 / 24 / 2086 97 cholesterol - ldl 09 / 24 / 2086 72 desirable : &amp; lt ; 130 microalbumin 09 / 24 / 2086 239. 8 hct ( hematocrit ) 02 / 20 / 2087 34. 2 prostate exam 09 / 24 / 2086 complete physical exam 09 / 24 / 2086 cholesterol - hdl 09 / 24 / 2086 52 hgb ( hemoglobin ) 02 / 20 / 2087 11. 4 hba1c 12 / 22 / 2086 6. 80 gfr ( estimated ) 02 / 20 / 2087 &amp; gt ; 60 abnormal if &amp; lt ; 60 ml / min / 1. 73m2. if patient is african - american, multiply the result by 1. 21. family history mother - died age 90 father - died age 76 colon cancer siblings - sister at age 80 dementia / pneumonia social history retired network operator / craftperson in amman. formal education level attained - hslives alone, next door to wife from whom he is separated. likes the library. vital signs : 8 : 00 temp 98. 5 at 10 : 15 : 90, 173 / 84, 18, 100 ( 2l ) on examination : gen : appears unwell, plethoric face psych : affect : flat cvs : irregular irregular pulse, no m / r / g. i do not hear the rub documented. chest : reduced air entry to mid - zone of right lung, dull to percussion abdo : soft, non - tender skin : no decubitus results02 / 20 / 2087 na 135, k 3. 2 ( l ), cl 96 ( l ), co2 30. 6, bun 14, cre 1. 00, egfr &amp; gt ; 60 [ 1 ], glu 147 ( h ) [ 1 ] result comment : abnormal if &amp; lt ; 60 ml / min / 1. 73m2. if patient is african - american, multiply theresult by 1. 21. 02 / 19 / 2087 na 132 ( l ), k 3. 9, cl 96 ( l ), co2 32. 0 ( h ), bun 16, cre 1. 05, egfr &amp; gt ; 60 [ 1 ], glu 229 ( h ) [
******************
at present. monitor foley drainage. consult urology if no resolution. otherwise for outpatient follow - up. 3. hodgkin's lymphoma : alert dr joyce of admission as courtesy. 4. a fib : rate controlled at present. hold off coumadin. 5. htn : bp poorly controlled. for admission anti - hypertensives. monitor. 6. psych : he appears depressed. likely reactive to current poor health. i will alert pcp. 7. code : full 8. family : daughter present and aware of plan _ _ _ _ _ _ _ _ _ _ _ _ _ _ _ _ _ _ _ _ _ _ _ _ _ _ _ _ _ _ _ _ _ _ _ _ cincere d. urban, m. d.</t>
  </si>
  <si>
    <t>The clinical notes indicate that the patient speaks Spanish and broken English. Since the criterion states that the patient must speak English, and the notes explicitly mention that the patient speaks broken English, it can be inferred that the patient does meet the criterion.</t>
  </si>
  <si>
    <t>['aspirin', 'insulin', 'antihypertensive medication', 'glucophage', 'tylenol', 'avenida', 'zoloft', 'hydrochlorothiazide', 'metoprolol', 'plavix', 'zestril']</t>
  </si>
  <si>
    <t>The model rationale incorrectly concludes that the patient meets the criterion based on speaking 'broken English.' The criterion requires the patient to speak English, and the evidence (chroma_id: '379_0_0') indicates the patient primarily speaks Spanish and only broken English. This does not satisfy the criterion of speaking English, as broken English implies limited proficiency.</t>
  </si>
  <si>
    <t>["379_0_0"]</t>
  </si>
  <si>
    <t>record date : 2091 - 12 - 28 december 28, 2091 nikkolas nancy - jasmine 693 - 31 - 18 - 1 i saw nikkolas nancy - jasmine today for evaluation concerning his stroke in august 2091. the information available today is limited to his knowledge of the events. he is an 67 - year - old honduran man with a history of diabetes mellitus and htn. in august he suffered a stroke. he reports that his speech was affected and that he developed severe right arm and leg weakness without sensory loss. he recalls no problem with his vision. he was hospitalized at dubuque obstetrics gynocology center. he does no know the extent of the evaluation. he was discharged on aspirin to mitchell county hospital. he is now living at home with his wife and son with visiting nurse assistance. his primary care physician is at flagler hospital. he has severe residual weakness of the right arm and leg. he also complains of dizziness and an abnormal numbness in his mouth. the dizziness is worst in the morning. he also notices a noise in his head when he sleeps. he has dm and htn. he is a nonsmoker. i don't have cholesterol information. there is no history of cardiac disease. there is no history of alcohol abuse. he is currently taking aspirin, insulin, antihypertensive medication of some type and possibly a cholesterol lowering agent, although he is no sure of this. he has no known allergies. he is aware of no significant family history. he is married. he lives with his wife and 22 - year - old son. he came to america from honduras in 2073. he worked nights in construction until his stroke. pulse 66, regular. bp 186 / 110. there are no cranial bruits. the carotid pulses are full with no bruits. the lungs are clear. the heart is regular with no murmur. the abdomen is benign. the mental state is normal ; he speaks spanish and broken english. he is able to name, repeat, and comprehend well. his fluency in his native language is probably normal. cranial nerves are intact. there is severe weakness of the right arm and leg : right interossei and finger flexors 1 / 5, finger extensors 0 / 5, biceps 1 / 5, triceps 0 - 1 / 5, deltoid 0 - 1 / 5. (
******************
record date : 2092 - 05 - 24 bayonne medical center internal medicine 15 hassell brook road daytona highridge estates, az 39757 nancy - jasmine, nikkolas 69331181 05 / 24 / 92 the patient is a 67 - year - old man with hypertension, diabetes, and history of recent stroke who comes in for follow up and for evaluation of positive ppd. history of present illness : he was being evaluated for day program and in the course of this had a ppd placed which was positive. he has no history of prior tb testing. he has had no chest pain, shortness of breath, cough, fever, chills, weight loss or night sweats. he has had no known exposure to tb. he is being treated for hypertension which has been difficult to control but seems recently to be doing quite well on a combination of hctz 12. 5mg, metoprolol 50mg b. i. d., norvasc 10mg po q. d., zestril 20mg po q. d. today's blood pressure was terrific at 128 / 70. he has diabetes and his hemoglobin a1c came down from 10. 4 in february to 7. 9 in may. he had been started in february on glucophage 500mg po b. i. d. and seems to e tolerating it quite well. he did have a stroke in august 2091 with right - sided hemiparesis. he is able to walk to the bathroom with a cane but otherwise uses a wheelchair. he had a form for me to complete for a day program listing his typical functioning. physical examination : he is a well - developed, well - nourished, pleasant man. weight was not done. blood pressure 128 / 70. heent : throat clear. neck supple, no adenopathy or thyromegaly. no carotid bruits. no jvd. heart : no murmurs. lungs are clear. extremities : no edema. neuro : he has weakness in the right leg and arm. assessment and plan : 1. positive ppd. at the time of this dictation, his chest x - ray came back and is completely normal. given his age and unknown duration of his positive ppd, will not treat. 2. hypertension. doing well on current combination of medications. 3. diabetes, doing much better since he started glucophage. at his
******************
next visit, i will need to confirm when his last eye appointment was. 4. status post cva. he seems to be functioning well. nena quiambao, m. d. nq : jaeger ; 80 - 55488880. doc ; dd : 5 / 27 / 92 ; dt : 5 / 28 / 92 ; dv : 5 / 24 / 92
******************
record date : 2093 - 04 - 28 bmc emergency dept visit nancy - jasmine, nikkolas 693 - 31 - 18 - 1 visit date : 04 / 28 / 93 the patient was seen, interviewed and examined by myself as well as dr. judd whose note i have reviewed, and whose findings i have confirmed. history of presenting complaint : this patient is a 68 year - old male who presents with slurred speech. the patient has a history of a prior cerebrovascular accident with residual right sided deficit. one day prior to arrival, the patient was found to have increasing slurring of speech and he was found to increasing weakness over his baseline on the right side. the patient arrives without acute complaints except for difficulty speaking. he denies any headache. he also does complain of some throat pain. review of systems : review of systems is as per the written note. the patient denies fevers, chills, chest pain, shortness of breath or dysphagia. past medical history : the patient's past medical history is significant for hypertension, diabetes mellitus, cerebrovascular accident and otherwise as per the written note. medications : the patient's medications include tylenol, aspirin, avenida, glucophage, zoloft, hydrochlorothiazide, metoprolol and otherwise as per the written note. allergies : the patient has no known drug allergies. social history and family history : the patient's social history and family history are as per the written note and are significant for past tobacco use and no alcohol use. he lives with family and goes to a day care facility. physical examination : general : the patient is a well nourished male in no acute distress. vital signs : temperature 97, pulse 62, respiratory rate 16, blood pressure 163 / 96, oxygen saturation 100 % on room air. neck : supple with full range of motion. no nuchal rigidity. lungs : clear to auscultation bilaterally with good air movement. cardiac : regular with ectopy. no murmur is auscultated. neurologic : alert, oriented x 3, dysarthric. finger to nose is within normal limits bilaterally. there is 5 / 5 motor strength throughout the left upper extremity and left lower extremity. the right upper extremity and right lower extremity there is 3 / 5 motor strength throughout all motor groups tested
******************
. the patient is able to follow all commands. his ability to understand appears to be completely intact. further details of the patient's physical examination are as per the written note. laboratory evaluation : laboratory studies are significant for a glucose of 195, bun of 14, creatinine of 1. 2, bicarbonate of 26, ck of 68, toxicology screen which is negative, troponin of 0. 04, white count of 7. 4, hematocrit of 42. 0, platelets of 327 and a urinalysis that is pending. a head ct is also pending. therapy rendered / course in ed : the patient was interviewed and examined in the emergency department. his past medical records were reviewed. the patient has new neurologic findings on top of an old cerebrovascular accident. consultations ( including pcp ) : the neurology service was therefore consulted and a head ct was ordered. the patient will be admitted to the neurology service for further work up and he will likely also undergo an mri / mra. final diagnosis : cerebrovascular accident. disposition ( including condition upon discharge ) : the patient is admitted to the neurology service in satisfactory condition. _ _ _ _ _ _ _ _ _ _ _ _ _ _ _ _ _ _ _ _ _ _ _ _ _ _ _ _ _ _ _ _ _ _ _ km855 / 90247 alisha viola, m. d. av51 d : 04 / 28 / 93 t : 04 / 28 / 93 dictated by : alisha viola, m. d. av51 * * * * * * * * not reviewed by attending physician * * * * * * * *
******************
record date : 2094 - 02 - 04 bmc neurology ed note date : 2 / 04 / 2094 name : nancy - jasmine, nikkolas mr # : 69331181 cc : 1 week of improving dysarthria, dysphagia, and vertigo, and persistent difficulty walking, comes in today for medication refill and gait instability hpi : 68yo rhm with htn, niddm, 2 prior strokes ( 8 / 91 5 / 93 ) who after running out of his medications in honduras woke up 7 days ago with dysarthria, dysphagia, and rotatory vertigo. he had a l thalamocapsular infarct in 8 / 2091 with r residual hemiparesis, and a r thalamocapsular infarct 5 / 93 with subsequent residual dysarthria. during his may hospitalization he had dysphagia for which he briefly received tube feeds before graduating to pos. he went to honduras approximately 3 months ago, and ran out of many of his medications in the last 2 weeks, including plavix, lopressor, and metformin. he self - d / c'd zestril for new nausea that he felt was related. since symptom onset 7 days ago, patient has noted slow improvement in both dysarthria and dysphagia. he continues to note vertigo present sitting, worse standing, and absent supine. he has had difficulty ambulating as well, despite the use of his tripod cane, and his children have helped him at home. he returned from honduras 3 days ago to refill his medications and get his symptoms evaluated. ros notable for poor vision bilaterally, worse on the l per patient. pt denied diplopia, trouble chewing, numbness of face, tinnitus. no ha, f / c, v, cp / pressure, sob, heartburn, constipation, diarrhea, dysuria. of note, admission fsbg was 353. pmh : htn niddm strokes as above. mra 5 / 93 showed multifocal stenoses of circle of willis with vertebrobasilar insufficiency positive ppd meds : asa 325mg qd, plavix 75 qd ( out ), lopressor 75 bid ( out ), zestril 30 qd ( self - d / c'd ),</t>
  </si>
  <si>
    <t>the note also suggests that pt can name, repeat and comprehend well</t>
  </si>
  <si>
    <t>The patient has a history of diabetes mellitus and has been experiencing complications related to it, including difficulty controlling blood pressure and hyperglycemia (with a glucose level of 195). Additionally, the patient has severe weakness in the right arm and leg, which could be indicative of neuropathy or other complications related to uncontrolled diabetes. However, specific major complications such as amputation, kidney damage, or retinopathy are not explicitly mentioned in the notes. Given the combination of diabetes, hypertension, and the patient's overall health status, it can be inferred that he may meet the criteria for major diabetes-related complications.</t>
  </si>
  <si>
    <t>['insulin', 'metformin', 'hctz', 'metoprolol', 'norvasc', 'zestril', 'zoloft', 'zocor', 'zantac']</t>
  </si>
  <si>
    <t>The model rationale identifies the patient's history of diabetes and complications such as hyperglycemia and severe weakness in the right arm and leg, which could suggest neuropathy. However, the evidence (chroma_id: '379_0_0', '379_1_0') indicates that the weakness is due to a stroke, not directly a diabetes complication. The model does not explicitly identify major diabetes-related complications like kidney damage or retinopathy, which are required by the criterion. Thus, the rationale partially applies to the criterion definition.</t>
  </si>
  <si>
    <t>["379_0_0", "379_1_0"]</t>
  </si>
  <si>
    <t>record date : 2091 - 12 - 28 december 28, 2091 nikkolas nancy - jasmine 693 - 31 - 18 - 1 i saw nikkolas nancy - jasmine today for evaluation concerning his stroke in august 2091. the information available today is limited to his knowledge of the events. he is an 67 - year - old honduran man with a history of diabetes mellitus and htn. in august he suffered a stroke. he reports that his speech was affected and that he developed severe right arm and leg weakness without sensory loss. he recalls no problem with his vision. he was hospitalized at dubuque obstetrics gynocology center. he does no know the extent of the evaluation. he was discharged on aspirin to mitchell county hospital. he is now living at home with his wife and son with visiting nurse assistance. his primary care physician is at flagler hospital. he has severe residual weakness of the right arm and leg. he also complains of dizziness and an abnormal numbness in his mouth. the dizziness is worst in the morning. he also notices a noise in his head when he sleeps. he has dm and htn. he is a nonsmoker. i don't have cholesterol information. there is no history of cardiac disease. there is no history of alcohol abuse. he is currently taking aspirin, insulin, antihypertensive medication of some type and possibly a cholesterol lowering agent, although he is no sure of this. he has no known allergies. he is aware of no significant family history. he is married. he lives with his wife and 22 - year - old son. he came to america from honduras in 2073. he worked nights in construction until his stroke. pulse 66, regular. bp 186 / 110. there are no cranial bruits. the carotid pulses are full with no bruits. the lungs are clear. the heart is regular with no murmur. the abdomen is benign. the mental state is normal ; he speaks spanish and broken english. he is able to name, repeat, and comprehend well. his fluency in his native language is probably normal. cranial nerves are intact. there is severe weakness of the right arm and leg : right interossei and finger flexors 1 / 5, finger extensors 0 / 5, biceps 1 / 5, triceps 0 - 1 / 5, deltoid 0 - 1 / 5. (
******************
record date : 2092 - 05 - 24 bayonne medical center internal medicine 15 hassell brook road daytona highridge estates, az 39757 nancy - jasmine, nikkolas 69331181 05 / 24 / 92 the patient is a 67 - year - old man with hypertension, diabetes, and history of recent stroke who comes in for follow up and for evaluation of positive ppd. history of present illness : he was being evaluated for day program and in the course of this had a ppd placed which was positive. he has no history of prior tb testing. he has had no chest pain, shortness of breath, cough, fever, chills, weight loss or night sweats. he has had no known exposure to tb. he is being treated for hypertension which has been difficult to control but seems recently to be doing quite well on a combination of hctz 12. 5mg, metoprolol 50mg b. i. d., norvasc 10mg po q. d., zestril 20mg po q. d. today's blood pressure was terrific at 128 / 70. he has diabetes and his hemoglobin a1c came down from 10. 4 in february to 7. 9 in may. he had been started in february on glucophage 500mg po b. i. d. and seems to e tolerating it quite well. he did have a stroke in august 2091 with right - sided hemiparesis. he is able to walk to the bathroom with a cane but otherwise uses a wheelchair. he had a form for me to complete for a day program listing his typical functioning. physical examination : he is a well - developed, well - nourished, pleasant man. weight was not done. blood pressure 128 / 70. heent : throat clear. neck supple, no adenopathy or thyromegaly. no carotid bruits. no jvd. heart : no murmurs. lungs are clear. extremities : no edema. neuro : he has weakness in the right leg and arm. assessment and plan : 1. positive ppd. at the time of this dictation, his chest x - ray came back and is completely normal. given his age and unknown duration of his positive ppd, will not treat. 2. hypertension. doing well on current combination of medications. 3. diabetes, doing much better since he started glucophage. at his
******************
. the patient is able to follow all commands. his ability to understand appears to be completely intact. further details of the patient's physical examination are as per the written note. laboratory evaluation : laboratory studies are significant for a glucose of 195, bun of 14, creatinine of 1. 2, bicarbonate of 26, ck of 68, toxicology screen which is negative, troponin of 0. 04, white count of 7. 4, hematocrit of 42. 0, platelets of 327 and a urinalysis that is pending. a head ct is also pending. therapy rendered / course in ed : the patient was interviewed and examined in the emergency department. his past medical records were reviewed. the patient has new neurologic findings on top of an old cerebrovascular accident. consultations ( including pcp ) : the neurology service was therefore consulted and a head ct was ordered. the patient will be admitted to the neurology service for further work up and he will likely also undergo an mri / mra. final diagnosis : cerebrovascular accident. disposition ( including condition upon discharge ) : the patient is admitted to the neurology service in satisfactory condition. _ _ _ _ _ _ _ _ _ _ _ _ _ _ _ _ _ _ _ _ _ _ _ _ _ _ _ _ _ _ _ _ _ _ _ km855 / 90247 alisha viola, m. d. av51 d : 04 / 28 / 93 t : 04 / 28 / 93 dictated by : alisha viola, m. d. av51 * * * * * * * * not reviewed by attending physician * * * * * * * *
******************
norvasc 10, metformin 850 qd ( out ), avandia 4 qd, zoloft 25 qd, zocor 20 qd ( unclear if taking ), zantac 150 bid all : nkda sh : tob : no etoh : no street drugs : no honduran immigrant. 9 children, 8 live with pt in america. fh : cad and htn vs : t : 98. 8 bp : 218 / 112 p : 68 rr : 18 o2 sat : 96 % general : wnwd, nad, somewhat unkempt heent : anicteric, mmm without lesions, op clear neck : supple, no lad, no carotid bruits, no thyromegaly cv : rrr s1s2 no m / r / g resp : ctab no r / w / r abd : + bs soft / nt / nd no hsm / masses ext : no c / c / e, distal pulses intact skin : no rashes, petechiae ms : a &amp; o x 3, following commands speech fluent w / o paraphasic errors no evidence of neglect with visual or tactile stimulation cn : i not tested, ii, iii perrl, vff by confrontation ; iii, iv, vi eomi, no nystagmus ( supine, sitting, standing ), no ptosis ; v - sensation intact to lt / pp, masseters strong symmetrically ; vii l nlf flattening ; viii hears finger snap ; ix, x voice with mild lingual dysarthria, palate elevates symmetrically, gag &amp; swallow intact ; xi scm / trapezii 5 / 5 b ; xii tongue protrudes midline, no atrophy or fasciculations. vertigo not precipitated on standing. motor : nl bulk and tone, no tremor, rigidity or bradykinesia. no pronator drift. d bi tri wf we di grip hip flex knee / ext flex dors plant l 5 5 5 5 5 5 5 5 5 5 5 5 r 2 3 2 3 2 1 3 4 4 4 0 0 dtrs : bi tri br pat ach plantar l 2 2 2 2 2 up r 3 3 3 2 2 down sensory : lt, vibration, temperature, pinprick intact. stereognosis &amp; double sim stim is normal. coord : finger tap rapid on
******************
l, cannot do on r, fnf intact on l. hks intact, foot tap rapid on l, impaired on r. gait : unable to stand with legs together and eyes open, retropulsing. gait unstable, falling back. labs : lytes / renal / glucose sodium 142 136 - 142 mmol / l 02 / 04 / 94 15 : 15 144 ( * ) 05 / 05 / 93 06 : 20 potassium 4. 5 3. 5 - 5. 0 mmol / l 02 / 04 / 94 15 : 15 5. 4 ( * ) 04 / 28 / 93 11 : 05 chloride 107 98 - 108 mmol / l 02 / 04 / 94 15 : 15 110 ( * ) 05 / 05 / 93 06 : 20 carbon dioxide 26 23 - 32 mmol / l 02 / 04 / 94 15 : 15 21 ( * ) 05 / 04 / 93 08 : 38 blood urea nitro 9 9 - 25 mg / dl 02 / 04 / 94 15 : 15 creatinine 1. 1 0. 7 - 1. 3 mg / dl 02 / 04 / 94 15 : 15 glucose 195 * # 54 - 118 mg / dl 02 / 04 / 94 15 : 15 195 ( * # ) 02 / 04 / 94 15 : 15 anion gap 9 3 - 15 mmol / l 02 / 04 / 94 15 : 15 general chemistries calcium 10. 3 8. 8 - 10. 5 mg / dl 02 / 04 / 94 15 : 15 10. 7 ( * ) 01 / 25 / 92 14 : 30 phosphorus 3. 3 2. 4 - 5. 0 mg / dl 04 / 28 / 93 11 : 05 magnesium 2. 0 1. 8 - 2. 5 mg / dl 05 / 05 / 93 06 : 20 1. 5 ( * ) 04 / 28 / 93 11 : 05 total bilirubin 0. 3 # 0. 2 - 1. 2 mg / dl 07 / 08 / 93 14 : 58 0. 1 ( * # ) 04 / 28 / 93 11 : 05 total protein 6. 7 6. 0 - 8. 0 g / dl 07 / 08 / 93 14 : 58 albumin 3. 9 3. 7 - 5. 4 g / dl 07 / 08 / 93 14 : 58 globulin 2. 8 2. 0 - 4. 0 g / dl 07 / 08 / 93 14 : 58 amylase 32 20 - 70 u / l 02 / 04 / 94 15 : 15 lipase 51
******************
02 / 04 / 94 13 : 53 nitrites neg 02 / 04 / 94 13 : 53 wbc screen neg 02 / 04 / 94 13 : 53 casts neg 02 / 04 / 94 13 : 53 rbc - urine sed neg 0 - 2 02 / 04 / 94 13 : 53 wbc - urine sed neg 0 - 4 02 / 04 / 94 13 : 53 bacteria neg 02 / 04 / 94 13 : 53 mucous neg 02 / 04 / 94 13 : 53 squamous cells neg 02 / 04 / 94 13 : 53 crystals neg 02 / 04 / 94 13 : 53 amorph crystals neg 02 / 04 / 94 13 : 53 other / comments neg 02 / 04 / 94 13 : 53 cxr : clear ct head : bilateral thalamocapsular infarcts cta : pending mri / mra : pending assessment : 68yo rhm with history of bilateral thalamocapsular infarcts and multifocal stenoses of vessels of circle of willis, with prior symptoms of dysarthria, dysphagia, and gait instability, here in the setting of medication noncompliance, hypertensive and hyperglycemic, with 1 week of recurrent symptoms. exam notable for absence of vertigo or nystagmus, as well as retropulsing stance and gait. hyperglycemia and hypertension may well be exacerbating patient's prior deficits. however, cannot rule out possibility of a subacute infarct in the setting of plavix and antihypertensive discontinuation. plan : - check cta to assess circle of willis check mri brain stroke protocol control htn, goal sbp ~ 160 - 180 control hyperglycemia if stroke present, admit to neurology. r / o mi discussed with dr. costello. thank you for this interesting consult. _ _ _ _ _ _ _ _ _ _ _ _ _ _ _ _ _ _ _ _ _ _ _ _ _ _ _ _ _ peter quale, ij6 pgr 20951</t>
  </si>
  <si>
    <t>The clinical notes do not mention any language barrier or indicate that the patient does not speak English. Therefore, it can be assumed that the patient speaks English and meets the inclusion criterion.</t>
  </si>
  <si>
    <t>['amitriptyline hcl 25 mg', 'asa ec 81 mg', 'atenolol 50 mg', 'calcium + d', 'fosamax (alendronate) 70 mg', 'lisinopril/hydrochlorothiazide 20mg/25mg', 'metformin extended release 500 mg', 'protonix (pantoprazole) 40 mg', 'simvastatin 20 mg']</t>
  </si>
  <si>
    <t>The model rationale assumes the patient speaks English because there is no mention of a language barrier in the clinical notes. However, evidence from chroma_id '384_3_0' explicitly states 'Spanish', indicating the patient may not primarily speak English. This contradicts the assumption made by the model.</t>
  </si>
  <si>
    <t>["384_3_0"]</t>
  </si>
  <si>
    <t>. ekg shows normal sinus rhythm with some t wave flattening in the inferior lateral leads. therapy rendered / course in ed : patient was seen, given aspirin, lopressor, and nitroglycerin. if her pain doesn't resolve with and a gi cocktail she will be admitted to the observation unit. because of the concern that her pain goes to her back, she has a ct scan to rule out aortic dissection which is reviewed with the radiologist and is negative. final diagnosis : atypical chest pain, perhaps consistent with angina. disposition ( including condition upon discharge ) : condition at this time is stable. _ _ _ _ _ _ _ _ _ _ _ _ _ _ _ _ _ _ _ _ _ _ _ _ _ _ _ _ _ _ _ _ _ _ _ dm972 / 9882 uriel nix, m. d. un49 d : 06 / 29 / 82 t : 06 / 29 / 82 dictated by : uriel nix, m. d. un49 * * * * * * * * not reviewed by attending physician * * * * * * * *
******************
record date : 2088 - 10 - 12 edvisit ^ 45630268 ^ uhrich, karson ^ 10 / 12 / 88 ^ abreu, olivia the patient was seen primarily by myself. history of present illness : this is a 71 - year - old female with a history of diabetes, high blood pressure, and hypercholesterolemia presents to the emergency room with some right thumb pain and swelling after poking with a turkey bone 2 days ago. denies any fevers or chills. does report some increased redness and swelling at the right side. also reports some left dental pain that started this morning. she has had history of dental pain in the past, however, much worse today. no fevers and no chills. tolerating secretions. no pain on swallowing. no recent dental work. past medical history : as noted above, hypercholesterolemia, diabetes, and hypertension. allergies : aspirin. medications : atenolol, protonix, amitriptyline, and lipitor. social history : denies any tobacco, alcohol, or iv drug use. past surgical history : no past surgery or procedure. review of systems : right thumb pain and left tooth pain. physical examination : mild tachycardic at 108 and low - grade temperature 99. 2. rectal same. she is an elderly female in mild to moderate distress complaining significant dental pain. head and neck exam, post dental exam, the patient has pain over tooth # 16 which is intact. no surrounding fluctuance, pus discharge, or bleeding. tooth is intact in the socket. does appear to have caries. posterior pharynx is clear. neck is supple with full range of motion. lungs are clear to auscultation bilaterally. cardiac exam reveals s1 and s2. regular rate. no gallops, rubs, or murmurs. abdomen is soft and nontender. on extremity exam, right thumb, the patient has an indurated right thumb with some streaking up into her mid forearm on the lateral aspect. there is some induration and warmth to touch. there is no foreign body visualized. there is no area of pus discharge or bleeding. 2 + radial pulses. laboratory data : normal cbc. x - ray of the right hand shows no evidence of foreign body. * * * * * * * * not reviewed by attending physician * * * * * * * * impression and plan : this is a 71 -
******************
year - old female with diabetes presenting with cellulitis and some streaking. she had received iv ancef in the emergency room. she will be admitted for continued iv antibiotics and observation. _ _ _ _ _ _ _ _ _ _ _ _ _ _ _ _ _ _ _ _ _ _ _ _ _ _ _ _ _ _ abreu, olivia m. d. d : 10 / 12 / 88 t : 10 / 12 / 88 dictated by : abreu, olivia escription document : 1 - 4087689 bffocus
******************
record date : 2092 - 05 - 05 05 / 05 / 2092 spanish 81 wood st uhrich, karson north andover, ky 41454 45630268 ( 884 ) 486 - 9594 07 / 01 / 2091 history of present illness : ms. uhrich is 75. medical issues include osteopenia, hyperlipidemia, hypertension, heart block ( pacemaker implanted ), gastritis, occasional joint pains. medications amitriptyline hcl 25 mg ( 25mg tablet take 1 ) po qhs x 30 days # 30 tablet ( s ) asa ec one tablet 81 mg po qd # 100 tablet ( s ) atenolol 50 mg ( 50mg tablet take 1 ) po qd # 60 tablet ( s ) calcium + d ( 500 elem. ca ) ( calcium carbonate 1250 mg ( 500mg elem ca ) / vit d 200 iu ) ) 1 tab po bid # 60 tablet ( s ) fosamax ( alendronate ) 70 mg ( 70mg tablet take 1 ) po q month # 3 month ( s ) supply lisinopril / hydrochlorothiazide 20mg / 25mg 1 tab po qd # 90 tablet ( s ) metformin extended release 500 mg ( 500mg tab. sr 24h take 1 ) po qd # 90 tab. sr monistat 3 ( miconazole 200mg vaginal supp ) 1 supp pv qhs x 3 days # 3 suppositories protonix ( pantoprazole ) 40 mg ( 40mg tablet dr take 1 ) po qd # 30 tablet ( s ) simvastatin 20 mg ( 20mg tablet take 1 ) po qhs # 30 tablet ( s ) left arm pain has not recurred. when tested in past no cardiac cause found. neurology examined her and felt cause had probably been impingement, no further follow up recommended. she has been pain free. she denies cp or pressure on exercise. no palpitation, no leg edema. uses 3 pillows on 09 / 27 / 90 she was admitted to the hospital via the ed where she presented with 2 / 1 heartblock and a ventricular rate of 38. a pacemeker was implanted and the lightheadedness that brought her to the ed disappeared. she is under the care of dr. ison and dr. ximenez in cardiology. otherwise she has has been
******************
well. she does have osteoarthritis of the knees rt. &amp; gt ; lft. has experienced cramps in her le. she does not drink much water. no pnd or ankle edema. no significant nocturia ( x1 or 2 ). no cough or sputum, no chills or fever. she is still having trouble remembering things but problem is not worse than before. still has occaasional dysuria ; in past culture has been negative physical examination : vital signs bp 152 / 79, p 72, wt 147 lb finger blood glucose 118 she is in no distress. extraocular movements are full. the neck veins are flat. the chest is clear to auscultation. the heart rhythm is regular, no rubs or gallops. the lower extremities are free of edema. knees thickened. assessment and plan : a 75 - year - old diabetic whose glycemic control is good. hemoglobin a1 was 6. 8, electrolytes, renal function, and calcium and a lipid panel wnl except for mild triglceride elevation.. she has an implanted pacemaker which if functioning well. adviced her to continue to walk and watch her diet. she will keep appointment with ophthalmologist who did her cataract surgery. she feels that her vision on od is diminished and at times gets inflamed.. i have given her my card to give to her ophthalmologist to send me a report. return in 4 months or prn _ _ _ _ _ _ _ _ _ _ _ _ _ _ _ _ _ _ _ _ _ _ _ _ _ _ _ _ _ _ owen quentin - xiong, m. d. results05 / 03 / 2092 na 139, k 4. 1, cl 101, co2 30, bun 20, cre 1. 09, egfr 49, glu 10305 / 03 / 2092 anion 805 / 03 / 2092 ca 9. 705 / 03 / 2092 alt / sgpt 36 ( # ), ast / sgot 41 ( * # ) 05 / 03 / 2092 chol 192, trig 171 ( * ), hdl 42 ( # ), ldlcal 116, vldl 3405 / 03 / 2092 hgba1c 6. 8 ( * ) 05 / 03 / 2092 malb 0. 8</t>
  </si>
  <si>
    <t>no mention of language spoken in chunks</t>
  </si>
  <si>
    <t>The clinical notes do not mention any language barriers or indicate that the patient does not speak English. Therefore, it can be assumed that the patient speaks English and meets the inclusion criterion.</t>
  </si>
  <si>
    <t>['atenolol 100mg', 'ativan (lorazepam) 1mg', 'calcium carbonate 1250mg', 'clobetasol propionate 0.05%', 'ecasa (aspirin enteric coated) 325mg', 'ibuprofen 800mg', 'lipitor (atorvastatin) 10mg', 'lisinopril 40mg', 'metformin 500mg', 'multivitamins', 'nasacort']</t>
  </si>
  <si>
    <t>The model rationale assumes the patient speaks English because there is no mention of language barriers in the clinical notes. This aligns with the criterion definition, which states to assume English proficiency unless explicitly noted otherwise. However, this is still an assumption as there is no direct evidence confirming the patient's language proficiency. The evidence provided does not mention language, supporting the model's assumption-based rationale. Therefore, the category is 'assumption'.</t>
  </si>
  <si>
    <t>[]</t>
  </si>
  <si>
    <t>record date : 2083 - 09 - 22 chief complaint mrs chapman is here to follow up on back pain, htn, s / p tah and dm history of present illness for the past 21 days has had back pain since she was involved in a low speed mva. was a restarined passanger in the back seat of a car, that wasn't moving, and their car was hit from behind. she developed lbp and has had it since. the next day she had the tah. the pain is constant, localized in the lower, with radiation to left upper or left lower extremities. no numbness, tingling or weakness on upper or lower extremities. the pain gets worse with movement and changing positions. unable to sleep at night with the pain. denies any urinary incontinence apart of her usual, when sneezing or coughing or bowel incontinence, no fever, chills, or other joint aches. hasn't had similar symptoms before. hasn been taking tylenol prn with no relif she has a tah and bso on 9 / 2 / 83 for a pelvic mass, found to be serous cystadenoma. feeling well, occasional wound discomfort, she was not aware of her uterus being removed. review of systems c / p : denies chest pain, shortness of breath, pnd, orthopnea general : denies fever, chills, headache, has lost 20 pounds since 6 / 83 gi : denies nausea, vomiting, diarrhea gu : denies dysuria, polyuria neuro : denies headaches heent : no cold sx but stuffy nose and sneezing psych : was very depressed before her surgery, was very scared all other systems negative problems asthma hypertension insomnia schizophrenia diabetes mellitus pelvic mass allergies nkda none medications metamucil ( psyllium ( metamucil ) sugar free ) 1tbsp po bid prempro 0. 625 / 2. 5 po qd lotensin 40mg po bid norvasc 5mg po qd vanceril 2puffs inh bid ventolin 2puff inh qid multivitamins prenatal 1 po qd paxil 40mg po qhs haloperidol 4mg po qd benadryl 50mg po qhs calcium carbonate 1000mg po qd fioricet 1tab po q
******************
##4h vital signs blood pressure : 120 / 80 pulse : 84 respiratory rate : 14 weight : 212 pounds physical exam alert, in mild distress, able to sit and lye down with mild discomfort heent : oral mucosa moist, no lesions, throat : clear, no plaques, exudates or erythema. rhinoscopy : erythematous mucosa, no polyps neck : supple, no masses or nodes, no jvd. lungs : clear anteriorly and posteriroly to auscultation, no rhonchi, crackles or wheezes, normal percussion. heart : regular,. s1s2 normal, no s3 or murmurs abdomen : midline surgical scar clean, soft, no tenderness, no masses no organomegalies bs ( + ), no rebound ext : no edema, normal skin back exam : no spinal deformities, no paraspinal muscle spasm, no sacroiliac tenderness, normal skin exam. bilateral straight leg raising test negative. neurological : strenght 5 / 5 bilateral symmetrical, sensory intact, dtr 2 + + bilateral symmetrical. no pathological reflexes assessment 1. back pain no evidence of anatomical or neurological deficit most likely musculoskeletal origin naprosyn 500 mg po bid for 7 days and the prn # 40 no refills soma compound 1 tb tid # 30 no refills heat pads tid for 20 minutes each time physical activity as tolerated written instructions on how to avoid back pain and exercises to performed three times per week given and start the exercises in a month time use a pillow under the knees to decreased the back pain 2. s / p tah bso explained to her the procedure and she understood. will start premarin 0. 625 mg po qd # 30 6 refills and d / c prempro continue mvi and calcium 3. allergic rhinitis rhinocort nasal spray 2 puffs bid # 1 and 6 refills 4. hypertension well controlled, continue same meds 5. diabetes mellitus prescr for accucheck glucometer, strips and lancets plan follow up with me in 2 months for flu shot or before prn
******************
##mities are without edema, cyanosis or clubbing. no calf tenderness. reflexes are normal. pedal pulses are present bilaterally. there is no rash or erythema, maceration on her feet. no lesion on her foot. laboratory studies : an mri from september 18 showed a left kidney mass, cystic. hemoglobin a1c from august was 6. 5 and the ldl was 125. impression and plan : 1. diabetes : her diabetes has been extremely well controlled. we will continue her current regimen. we will check glucose, hemoglobin a1c, u / a, urine, microalbuminuria. she recently went to the ophthalmologist. 2. elevated cholesterol. our goal is an ldl of 100. we will start lipitor 10 mg p. o. q. d. she will return in six weeks for follow up of this. 3. hypertension. her blood pressure is acceptable. we will continue her current regimen. results were given as needed. 4. allergy symptoms. i gave her rhinocort aq nasal spray. explained how to use it. 5. nodular hyperpigmented lesion on her forefeet. i will refer her to dermatology for evaluation of this lesion, but the patient says that it has been there for as long as she can remember but it is quite atypical to my exam. 6. left renal cystic mass. she has been scheduled for a follow - up mri for december 13. 7. asthma : she is doing stably in this regard and i believe that nasal spray will help substantially with her symptoms. labs great, letter sent _ _ _ _ _ _ _ _ _ _ _ _ _ _ _ _ _ _ _ _ _ _ _ _ _ _ _ _ _ _ sandra jewell, m. d. dictated by : sandra jewell escription document : 5 - 7786571 emssten tel dd : 11 / 18 / 86 dt : 11 / 19 / 86 dv : 11 / 18 / 86
******************
record date : 2087 - 06 - 16 chief complaint mrs chapman is here today to follow up on htn, dm history of present illness i saw her 2 / 24 / 87 for htn and dm. bp was high and increased lisinopril to 20 mg qd restarted lipitpr but she still is not taking it. the pharmacy didn't give it to her. her ldl is 116 ono 2 / 87 and has dm, goal &lt; 100. feels well. had an ett mibi few weeks ago and no evidence of ischemia. denies cp, sob, palpitations started walking daily around woodstown about 3. 5 miles and has lost 7 pounds since i saw her. also eating more vegetables and fruits and less carbohydrates. third, she had a renal u / s done for hematuria and showed small left renal mass. had a ct scan later that showed the same and recommended an mri. she had it done few 9 / 86. recommended to repeat it soon. left lower pole renal lesion with mri signal characteristics consistent with a cystic, septated, unenhancing renal lesion or bosniak grade 2. however, when compared to prior ct examination demonstrating late filling of this lesion, follow up is warranted to exclude a cystic renal neoplasm making this an overall bosniak grade 2f. review of systems c / p : denies pnd, orthopnea. leg swelling after walking around the pond general : denies fever, chills heent : no cold sx gi : denies nausea, vomiting, diarrhea. psych : follow with therapist and psychiatry. taking all her psych meds gu : denies dysuria, polyuria neuro : denies skin : denies all other systems negative problems asthma hypertension insomnia schizophrenia diabetes mellitus 10 / 08 / 85 r breast u / s with likely lipoma and simple cyst at 8 o'clock, repeat u / s in 6 months and mammography in 01 / 2086 renal mass obesity : type 3 - bmi 44 allergies nkda none medications paxil 40 mg po qhs ntg 1 / 150 ( nitroglycerin 1 / 150 ( 0. 4 mg ) ) 1 tab sl not taking it ativan ( lorazepam ) 1mg tablet take 1 tablet ( s ) po ventolin 2 puff inh qid prn shortness of breath, prnnot taking
******************
record date : 2088 - 06 - 24 patient name : chapman, noor [ mrn : 45479406hbmc ] date of visit : 6 / 24 / 2088 chief complaint mrs chapman is here today to follow up on htn, dm history of present illness she has been feeling well. seen by orthopedics few days ago for shopulder pain. offered steroid injection but she declined. instead started nsaids and will follow up in 4 weeks. still has pain on her left shoulder. she is checking glucose sometimes and has been in the high 90s. not taking metformin for 1 month, was told insurance won't pay for it. has been doing well overall. eye exam scheduled for next month depression is stable. taking all her meds as directed needs refills for meds walking 1 hour every day review of systems c / p : denies pnd, orthopnea general : denies fever, chills heent : no cold sx gi : denies nausea, vomiting, diarrhea. psych : follow with therapist and psychiatry. taking all her psych meds gu : denies dysuria, polyuria neuro : headaches skin : no rashes all other systems negative problems asthma hypertension insomnia schizophrenia diabetes mellitus 10 / 08 / 85 r breast u / s with likely lipoma and simple cyst at 8 o'clock, repeat u / s in 6 months and mammography in 01 / 2086 renal mass obesity : type 3 - bmi 44 allergies nka medications atenolol 100mg tablet take 1 po qd ativan ( lorazepam ) 1mg tablet take 1 tablet ( s ) po calcium carbonate 1250 mg ( 1. 25g tablet ) po qd clobetasol propionate 0. 05 % 1 application top bid ecasa ( aspirin enteric coated ) 325mg tablet ec take 1 tablet ( s ) po qd ibuprofen 800 mg po tid prn shoulder pain lipitor ( atorvastatin ) 10mg tablet take 1 tablet ( s ) po qd lisinopril 40mg tablet take 1 po qd metformin 500mg tablet take 1 po bid ( not taking it ) multivitamins 1 capsule po qd nasacort 2 puff na qhs, 2 puffs in each nostril qhs paxil 40 mg po qhs premarin ( conjugated estrogen</t>
  </si>
  <si>
    <t>The patient has a history of alcohol abuse, which qualifies as a past history of drug abuse. Although there is no indication of current drug abuse, the inclusion criterion allows for past history to meet the requirement.</t>
  </si>
  <si>
    <t>['folic acid', 'ecotrin (aspirin enteric coated)', 'remeron (mirtazapine)', 'metoprolol tartrate', 'sotalol', 'digoxin', 'ferrous sulfate', 'mvi (multivitamins)', 'calcium carbonate', 'thiamine hcl', 'nitrofurantoin', 'zocor (simvastatin)', 'glyburide', 'prednisone', 'effexor (venlafaxine hcl)', 'aricept (donepezil hcl)']</t>
  </si>
  <si>
    <t>The model rationale correctly identifies the patient's history of alcohol abuse as a past history of drug abuse, which aligns with the criterion definition of 'Current or past history of drug abuse'. The evidence confirms a history of alcohol abuse (chroma_id: '394_0_0', '394_2_1', '394_3_1'). Alcohol is considered a drug, and its abuse falls under the category of drug abuse. Therefore, the rationale is logically complete.</t>
  </si>
  <si>
    <t>["394_0_0", "394_2_1", "394_3_1"]</t>
  </si>
  <si>
    <t>record date : 2091 - 06 - 12 narrative history 79 yo woman who presents for f / u of : 1. urinary incontinence : she is s / p vaginal sling procedure by dr. xuereb in april. she states that she did well for about 2 weeks, but then the incontinence became worse than before. according to her son, she saw dr. xuereb 10 days ago who thought the procedure was a success but that the pt had a uti. she started her on a month - long course of nitrofurantoin. 2. paf : the pt has not noted any cardiac symptoms. 3. pmr : her shoulder pain and weakness has disappeared since starting the prednisone. she has noted some facial puffiness since the medication was begun. she is being followed in rheum by dr. lisa inge. 4. mental status : she underwent neuropsychiatric testing at bma 3 days ago and the results have been faxed to bh. 5. social : she is currently living in forest hills, an assisted living facility. she has her own bedroom and sitting room and can shut her door for privacy. all meals are provided for her. she enjoys the room but at times feels " confined. " she had befriended a 90 yo male patient, but recently had a bad experience when he made sexual advances toward her. she states that she would like to move back into her apartment in stow. problems urinary incontinence s / p sling procedure in 4 / 91 ; s / p 3 prior bladder suspension surgeries hypertension depression elevated cholesterol diarrhea polymyalgia rheumatica diagnosed in 1 / 91 s / p rectocele repair paroxysmal atrial fibrillation controlled with medication peripheral neuropathy unclear etiology hyperlipidemia h / o alcohol abuse s / p urosepsis admission in 9 / 90 chronic diarrhea colonoscopy attempted in 9 / 90 but pt not able to tolerate procedure dementia mild - moderate ; neuropsychiatric test done in 5 / 91 medications folic acid 1mg 1 tablet ( s ) po qd ecotrin ( aspirin enteric coated ) 325mg 1 tablet ( s ) po qd remeron ( mirtazapine ) 15mg 1 tablet ( s ) po qhs metoprolol tartrate 50mg 1 tablet ( s ) po tid sotalol 80mg
******************
she is taking her medications every day. they pay a private nurse to come lay out the meds in the am, but the pt is often asleep when she comes and will not get up to take the meds at that time. 10. onychomycosis : the pt has a fungal infection in her great toes. her daughter - in - law is wondering if there is anything topical to treat this with. the pt gets regular pedicures. problems urinary incontinence : s / p sling procedure in 4 / 91 ; s / p 3 prior bladder suspension surgeries hypertension depression elevated cholesterol diarrhea polymyalgia rheumatica : diagnosed in 1 / 91 s / p rectocele repair paroxysmal atrial fibrillation : controlled with medication peripheral neuropathy : unclear etiology hyperlipidemia h / o alcohol abuse s / p urosepsis : admission in 9 / 90 chronic diarrhea : colonoscopy attempted in 9 / 90 but pt not able to tolerate procedure dementia : mild - moderate ; neuropsychiatric test done in 5 / 91 diverticulitis : hospitalized in 7 / 92 medications folic acid po qd ( 1mg tablet take 1 tablet ( s ) ) ecotrin ( aspirin enteric coated ) po qd ( 325mg tablet ec take 1 tablet ( s ) ) metoprolol tartrate po tid ( 50mg tablet take 1 tablet ( s ) ) thiamine hcl po qd ( 100mg tablet take 1 tablet ( s ) ) digoxin po qd ( 0. 125mg tablet take 1 tablet ( s ) ) ferrous sulfate po qd ( 325mg tablet take 1 tablet ( s ) ) mvi ( multivitamins ) 1capsule po qd calcium carbonate vit d ( 1tablet = 250mg e... 500mg po tid nitrofurantoin po qd ( 100mg capsule take 1 capsule ( s ) ) zocor ( simvastatin ) po qhs ( 20mg tablet take 1 tablet ( s ) x 30 days ) glyburide po qd ( 2. 5mg tablet take 1 tablet ( s ) ) prednisone po qam ( 5mg tablet take 1 tablet ( s ) ) prednisone po qam ( 1mg tablet take 4 tablet ( s ) ), total 9 mg / d effexor sr ( ve
******************
##nlafaxine extended release ) po qd ( 37. 5mg capsule cr take 1 capsule ( s ) ) sotalol po bid ( 80mg tablet take 1 tablet ( s ) ) aricept ( donepezil hcl ) 10mg po qhs ( x 30 days ) effexor ( venlafaxine hcl ) po qd ( 37. 5mg tablet take 4 tablet ( s ) ) health maintenance cholesterol 05 / 24 / 2092 223 stool guaiac 12 / 21 / 2091 done - positive 12 / 09 / 91 ; 12 / 11 / 91 ; 12 / 12 / 91. all slides positive. ua - protein 01 / 18 / 2093 negative hba1c 05 / 25 / 2092 7. 30 urine culture 01 / 18 / 2093 see report in results catheterized specimen triglycerides 08 / 26 / 2091 330 cholesterol - ldl 08 / 26 / 2091 148 bone density 06 / 16 / 2091 bmd - hip hct ( hematocrit ) 12 / 07 / 2092 40. 7 cholesterol - hdl 05 / 24 / 2092 43 hgb ( hemoglobin ) 12 / 07 / 2092 13. 7 syphilis 09 / 14 / 2090 final result non - reactive. allergies nkda social history lives in forest hills, an assisted living facility ; never smoking ; etoh - rare - she might have one drink if she goes to her son's house for dinner ; exercise - walking. family history family history : mother died at 89 of " old age " ; father died of unknown causes ; no breast or colon ca ; brother is s / p mi before age 60 ; + dm. review of systems no change in weight, appetite. no dizziness, f / c / n / v, cough, sob, cp, abd pain, constipation, dysuria, joint pain. physical exam bp : 122 / 70 weight : 132 lbs. ( down 8 lbs ) height : 5'2 " general : elderly woman with cushingoid facies. skin : nl turgor, no abnormal lesions. heent : nl eyes, lids drooping over eyes about 1 / 2 way ; nl oropharynx neck : no thyromegally, no nodes ; carotids 2 + bilat without bruits. chest : clear lungs, nl frame cor : nl s1s2, no
******************
5. hyperlipidemia 6. depression 7. polymyalgia rheumatica - dx 1 / 91. on steroids. 8. chronic diarrhea - evaluated by gi in 10 / 94 felt likely ibs and fecal incontinence 9. h / o urosepsis - 9 / 90 10. h / o diverticulitis - 7 / 92 11. urinary incontinence : s / p sling procedure in 4 / 91 ; s / p 3 prior bladder suspension sx 12. s / p rectocele repair 13. peripheral neuropathy : unclear etiology 14. h / o alcohol abuse medications on admission ( from alf ) : 1. aricept 10mg po qd 2. digoxin 0. 125mg po qd 3. folic acid 1mg po qd 4. nitrofurantoin 100mg po qd 5. zocor 80mg po qd 6. glyburide 10mg po qd 7. prednisone 5mg po qd 8. calcium 600 / d tid 9. thiamine 100mg po qd 10. ferrous sulfate one tab po qd 11. mvi 12. asa 325mg po qd 13. sotalol 80mg po bid 14. effexor 37. 5 2 tabs po bid 15. lopressor 50mg po tid all : demerol sh : lives in assisted living ( forest hils ). two sons involved. never smoked.? h / o etoh abuse. fh : family history : mother died at 89 of " old age " ; father died of unknown causes ; no breast or colon ca ; brother is s / p mi before age 60 ; + dm. physical exam : v : t97. 6, p 73, r 18, bp 99 / 64, 97 % ra gen : very pleasant but confused elderly female lying in bed comfortable heent : perrl, eomi, sclera anicteric, mmm neck : supple, no thyromegaly, no carotid bruits, jvp 7cm nodes : no cervical or supraclavicular lan cor : irregular, no murmur appreciated chest : ctab abdomen : s / nt / nd, + bs. no hsm, no cva tenderness ext : no c / c / e. peripheral pulses intact. skin : no rashes. ne
******************
_ _ _ _ _ _ _ _ _ _ _ _ _ _ _ _ _ _ _ _ _ _ _ _ _ _ _ _ _ _ _ _ _ emmerson f. carpenter, md pager 40987 pgy - 1 medicine</t>
  </si>
  <si>
    <t>the model equates alcohol abuse to drug abuse which are distinct terms</t>
  </si>
  <si>
    <t>The patient has a history of marijuana use and alcohol abuse, which indicates a past history of drug abuse. Although the patient is currently not using these substances, the inclusion criterion states that either current or past history of drug abuse qualifies. Therefore, the patient meets the criterion based on their past history.</t>
  </si>
  <si>
    <t>['aspirin 81 mg daily', 'calcium plus d 1 tablet b.i.d.', 'darbepoetin', 'iron sulfate 325 mg b.i.d.', 'hydralazine 100 mg t.i.d.', 'loratadine 10 mg daily', 'metolazone 100 mg daily', 'metoprolol succinate 150 mg daily', 'multivitamin', 'nitroglycerin patch 0.3 mg per hour', '70/30 novolog 60 units in the morning and 35 in the evening', 'omeprazole 20 mg b.i.d.', 'potassium chloride 40 meq t.i.d.', 'ropinirole 0.25 mg daily', 'simvastatin 40 mg daily', 'spiriva 1 inhalation daily', 'spironolactone 50 mg daily', 'torsemide 100 mg b.i.d.', 'trazodone 25 mg nightly', 'b-complex vitamin daily', 'vitamin d3 1000 units daily', 'coumadin']</t>
  </si>
  <si>
    <t>The model rationale correctly identifies the patient's past history of marijuana use and alcohol abuse as evidence of a past history of drug abuse, which aligns with the criterion definition. This is supported by evidence from chroma_id '396_3_1', which mentions the patient's history of marijuana use and alcohol abuse.</t>
  </si>
  <si>
    <t>["396_3_1"]</t>
  </si>
  <si>
    <t>record date : 2077 - 11 - 10 reason for visit follow up first visit in over 5 months. had injury at work, fell and rx right shoulder - had surgery and now will have to have shoulder replacement by dr. denny. went through rehab and has been living with her son in washington - her apartment is being fixed up but likely she will move because of issues with elevator - lookiing for elderly housing. no pain issues, still has constipation - takes senna and colace bid. is concerned about addictive personality - off narcotics but is attending na meetings and wants to get of amitriptyline and trazodone - would like to try neurontin. bs are good - on 18 units insulin bid and has been trying to lose wt - 1 + / week. will have emg on 11 / 26 because of numbness right hand and concern about brachial nerve. will also have ct. she has tingling left medial fingers - advised emg of that hand too. needs bmd - needs to get clearance from workers comp. generally doing well. using chantix. reviewed meds. needs new rx. bs 117 - 121, no hypoglycemai medications text verapamil 120 mg bid novolog 70 / 30 18units bid amitriptylin 50 / 25 - will stop lisinopril 10mg qd - - bps have been high mvi asa 325 mg qd simvastain 20mg qd vit c 1000mg qd metoprolol 100mg qd lasix 20mg - no longer taking chantix allergies nka past medical history ob : g1 p1 uchd, no arf family history non contributory children - one son, hep c no fh of colon cancer, breast cancer social history smoking : up to 1. 5 ppd on weekends etoh : rare drugs : mj - - thinking about stopping because it causes increase in appetite substance abuse : none otc meds : none diet : optifast exercise : walk caffeine : na immunizations : needs flu shot work : appraiser - currently unemployed sexual : msw, not sexually active domestic violence : in past seat belt use : yes sunscreen : yes living will / health care proxy - none review of systems general : wt lost 11. 5 lbs since may eye : reg ck - done this yr ent : no sinus sx, skin : no rashes esp
******************
record date : 2078 - 10 - 25 chief complaint annual exam history of present illness last cpe 2 yrs ago. had severe injury to right shoulder and failed surgery so we did not do cpe last yr. now pt fighting for workers comp and disability had has a hearing in 2 days. has a lawyer. is not smoking any more. has gained wt but feels she has " turned the corner " reports classic orthopnea for past few days - afraid to go back to sleep. has to sleep on 3 pillows. inhaler does not help. no sx during the day but is not as active. no cp, edema, palpitations. ekg done 2 yrs ago showed junctional rhythm bs 140 only occ near 200. onw on 24 units novolog bid medications ascorbic acid 1000 mg po qd aspirin buffered 325 mg ( 325mg tablet take 1 ) po qd calcium + d ( 500 elem. ca ) ( calcium carbonate 1250 mg ( 500mg elem ca ) / vit d 200 iu ) ) 1 tab ( 500mg - 200 tablet ) po bid # 180 carnitor ( levocarnitine ) 1. 5 gm ( 500mg tablet ) po bid coenzyme q10 30 mg ( 30mg capsule take 1 ) po qd furosemide 20 mg ( 20mg tablet take 1 ) po qd # 90 tablet ( s ) lisinopril 40 mg ( 40mg tablet take 1 ) po bid # 180 tablet ( s ) metoprolol succinate extended release ( metoprolol succinate extended release ) 100 mg ( 100mg tab. sr 24h take 1 ) po qd, non - childproof caps # 90 tab. sr multivitamins 1 tab po qd novolog mix 70 / 30 ( insulin aspart 70 / 30 ) 70 - 30 u / ml vial sc as directed, 24 units bid # 3 bottle ( s ) simvastatin 20 mg ( 20mg tablet take 1 ) po qhs # 90 tablet ( s ) verapamil sustained release 120 mg ( 120mg tablet sa take 1 ) po bid # 180 tablet ( s ) allergies nka past medical history ob : g1 p1 uchd, no arf past surgical history 2 surgeries on right shoulder due to injury / fx family history non contributory children - one son, hep c no fh of colon cancer, breast cancer social history
******************
##j 2 +, aj 2 +, symmetrical gait normal psych normal affect impression 1. hm : needs flu shot 2. dm : will ck labs likely to be out of control 3. wt gain 4. renal insufficiency - has not seen dr. dougherty 5. right arm injury and workers comp / disability 6. orthopnea - new onset af - may be underlying cad vs cardiomyopathy vs due to bp - needs further eval. lab tests tests ordered : ekg : af rate 61 orders 80053 comprehensive metabolic panel 85027 cbc ( no diff ) 83036 hemoglobin a1c 81002 urine dipstick, w / o mic 80061 lipid panel 84443 tsh in - office procedures q0091 pap smear screening 82272 occult blood, single 93005 ekg, tracing only 90658 flu vaccine, split, 3 yrs &amp; &gt; 90471 imadm prq id subq / im njxs 1 vacc e &amp; m level 99396 preventive visit, established, age 40 - 64 plan patient education done medications reviewed and reconciled patient will return : 3 mon referral to dr. yarborough for cardiac eval - new onset af, mult cad risk factors _ _ _ _ _ _ _ _ _ _ _ _ _ _ _ _ _ _ _ _ _ _ _ _ _ _ _ _ _ _ billy u. webber, m. d.
******************
complicated by a hospital - acquired pneumonia and urinary tract infection as well. past medical history : congestive heart failure secondary to diastolic dysfunction, type 2 diabetes, renal insufficiency with baseline creatinine approximately 3, hyperlipidemia, atrial fibrillation, peripheral vascular disease, chronic obstructive pulmonary disease, peripheral neuropathy, barrett's esophagus, colon polyps ( tubulovillous adenoma 2079 ), diverticulosis adenoid hypertrophy, humeral fracture, history of marijuana use, history of alcohol abuse. medications : reconciled today, they include : 1. aspirin 81 mg daily. 2. calcium plus d 1 tablet b. i. d. 3. darbepoetin is followed by dr. dougherty at st. mary's. 4. iron sulfate 325 mg b. i. d. 5. hydralazine 100 mg t. i. d. 6. loratadine 10 mg daily. 7. metolazone 100 mg daily. 8. metoprolol succinate 150 mg daily. 9. multivitamin. 10. nitroglycerin patch 0. 3 mg per hour ( 3 x 0. 1 mg patches ). 11. 70 / 30 novolog 60 units in the morning and 35 in the evening. 12. omeprazole 20 mg b. i. d. 13. potassium chloride 40 meq t. i. d. 14. ropinirole 0. 25 mg daily. 15. simvastatin 40 mg daily. 16. spiriva 1 inhalation daily. 17. spironolactone 50 mg daily. 18. torsemide 100 mg b. i. d. 19. trazodone 25 mg nightly. 20. b - complex vitamin daily. 21. vitamin d3 1000 units daily. 22. coumadin as monitored by the hematology dept.. allergies to medications : none. physical examination : blood pressure is 136 / 60, pulse 74, temperature 97, and weight 222 pounds. general appearance : she looks remarkably well given everything she has gone through. heent is unremarkable. neck is supple. no lymphadenopathy, no jvd. lungs are clear. heart irregularly irregular without murmurs. abdomen is soft, nontender, without organomegaly. extremities without edema. laboratories : drawn by
******************
to see hematology at stone - wheeling in january. in the meantime, i have spoken to dr. dougherty who agrees to monitor her in the renal department at st. mary's. if necessary, they can give her intravenous iron. i will check a hematocrit and iron stores today and fax them over to dr. dougherty. 7. health care maintenance. labs today. h1n1 vaccine today. son, brendon ambrose is her healthcare proxy and i have put his name in the advanced directive file on the lmr. she wishes to be full code at present. i will see her again in 4 weeks. visit length 60 minutes. _ _ _ _ _ _ _ _ _ _ _ _ _ _ _ _ _ _ _ _ _ _ _ _ _ _ _ _ _ _ wendy p nowak, m. d. escription document : 2 - 22566361 cssten tel dd : 12 / 12 / 79 dt : 12 / 12 / 79 dv : 12 / 12 / 79</t>
  </si>
  <si>
    <t>partially_complete; extraction error; logical error</t>
  </si>
  <si>
    <t>model recognizes past history of drug use; however fails to extract substance abuse: none; and equate drug use as abuse</t>
  </si>
  <si>
    <t>The patient is taking folate and B vitamins, which are commonly used as dietary supplements. Therefore, the patient meets the inclusion criterion for dietary supplement consumption in the past 2 months.</t>
  </si>
  <si>
    <t>['metformin', 'glyburide', 'aspirin', 'atorvastatin', 'zestril', 'trazodone', 'avandia', 'insulin', 'neurontin', 'zantac', 'lopressor', 'dilaudid', 'lidoderm patch', 'pravachol', 'paxil', 'folate', 'b vitamins', 'simethicone', 'nexium']</t>
  </si>
  <si>
    <t>The model rationale correctly identifies that the patient is taking folate and B vitamins, which are commonly used as dietary supplements. This aligns with the criterion definition that considers substances commonly used as dietary supplements as meeting the criterion. The medications and supplements list from the evidence (chroma_id: '399_1_1') confirms the presence of folate and B vitamins, supporting the model's rationale.</t>
  </si>
  <si>
    <t>["399_1_1"]</t>
  </si>
  <si>
    <t>record date : 2069 - 10 - 20 ed neurology consult patient name : nathan rico mrn : 9190908 date : 10 / 20 / 69 id / cc : 49 year - old right - handed man presenting with left hemiparesis and hemineglect. hpi : this pt has a past medical history significant for hypertension, hypercholesterolemia, and diabetes mellitus type 2. per his wife, in april he described left hand weakness. he stopped smoking at the time and stated that his deficit resolved. he was in his usual state of health until this evening. he last noted feeling normal after the coyotes game, which ended at about 7 : 30pm. he subsequently took a nap, per his routine, and awoke at 11 : 00pm to ready himself for his night shift as an rn. he took a shower and noted weakness in his right arm during the shower. after, while trying to put his clothes on, he developed progressive weakness such that his arm became plegic and he was no longer able to stand. ems was phoned and the pt arrived at the gbh ed around 11 : 40pm. nih stroke scale = 12. pt went for ct / cta and required sedation and intubation to tolerate scan. pmhx : 1. diabetes mellitus type 2 2. hypertension 3. hypercholesterolemia meds : 1. metformin 2. glyburide 3. aspirin ( did not take ) 4. atorvastatin ( did not take ) all : nkda shx : positive for smoking, occasional ethanol fhx : unknown vs : t afebrile hr 71 bp 140 / 77 sat 98 % on ra pe : general obese man, agitated heent sclerae anicteric, oral mucosa moist neck : no bruits chest : clear to auscultation bilaterally heart : regular rate and rhythm, no murmurs abd soft, nontender, nondistended ext no cyanosis, clubbing, or edema ; radial and dorsalis pedis pulses 2 + neuro ms : alert, oriented to name, year, month, day of week, gbh speech / lang : fluent w / o paraphasic errors ; follows left - right body part commands without confusion ; repeats no ifs, ands, or buts without error ; names watch, zipper spatial : extinction present on visual, tactile double simultaneous stimuli
******************
. cn : pupils 3mm, round, light - reactive to 2mm. no blink to threat to left eye. right gaze preference, eyes cross midline ; diminished sensation v1 - v3 to light touch. left facial droop, both lower and upper. palate elevates symmetrically, tongue protrudes midline. motor : normal bulk and tone. full strength in right upper and lower extremities ; decorticate posturing in left upper extremity to painful stimulus. antigravity movement of left hip flexion. coord : not assessed reflex : bic tric bra hoff pat ank toes l 2 2 2 neg 2 2 down r 2 2 2 neg 2 2 down sens : diminished sensation to light touch in left face, arm, and leg. able to localize stimuli as present on the left, but not more specifically. gait : not assessed. labs : plasma sodium 134 l 135 - 145 mmol / l plasma potassium 4. 9 h 3. 4 - 4. 8 mmol / l plasma chloride 101 100 - 108 mmol / l plasma carbon dioxide 19. 6 l 23. 0 - 31. 9 mmol / l calcium 9. 0 8. 5 - 10. 5 mg / dl phosphorus 3. 4 2. 6 - 4. 5 mg / dl magnesium 1. 6 1. 4 - 2. 0 meq / l plasma urea nitrogen 20 8 - 25 mg / dl plasma creatinine 0. 9 0. 6 - 1. 5 mg / dl plasma glucose 267 h 70 - 110 mg / dl creatine kinase isoenz 4. 5 0. 0 - 6. 9 ng / ml cpk isoenzymes index 0. 0 - 3. 5 % result text : cpk and / or ckmb too low to calculate relative index. troponin - t &lt; 0. 01 0. 00 - 0. 09 ng / ml creatine kinase 120 60 - 400 u / l wbc 6. 3 4. 5 - 11. 0 th / cmm hct 42. 0 41. 0 - 53. 0 % hgb 15. 7 13. 5 - 17. 5 gm / dl rbc 4. 98 4. 50 - 5. 90 mil / cmm plt 377 h 150 - 350 th / cumm mcv 84 80 - 100 fl mch 31. 6 26. 0 - 34. 0 pg / rbc mchc 37. 5 h
******************
very close family who is intimately involved in his medical care. his spirits have been good considering the ordeal he has recently been through. while in rehab, his wife apparently deserted him after accruing a great deal of credit card debt from gambling. he cries when he tells me about this. a close female friend has moved in to his home and cares for him 24 hours a day. he is able to assist with adls but cannot function independently. his left leg has some strength, but his arm remains completely paralyzed. there are occasional twitches in the thumb that are not voluntary. he has had a great deal of left shoulder pain related to subluxation at that joint. an orthopedist suggested that the family consider shoulder fusion at some point in the future when the patient has recovered maximal function in the arm. he also has occasional hip pain on the same side that is less bothersome. neurontin has been helpful for the shoulder pain, though the family believes that higher doses lead to a depressed mood. they are trying to decrease the amount of dilaudid he uses. pmhx : - stroke as above - htn - hyperlipidemia - dm meds : - zestril 5 - trazodone 150 - avandia 4 - glucophage 1000 bid - insulin - neurontin 400 bid - zantac - lopressor 50 bid - dilaudid 2 tid - lidoderm patch to l shoulder - pravachol 20 - paxil 20 - folate, b vitamins all : allegra - &gt; unknown reaction sohx : lives with daughter and female friend. former rn. no substance use of any kind. exam : gen - bp 120 / 75. pulse 56 and regular. well - appearing. ms - alert and fully oriented, fluent and conversant, attentive, aware of current events. mood is labile with crying or laughing as appropriate. cn - perrl, eomi, vff with marked left - sided visual neglect, l face droop, tongue midline, scm strong, unable to elevate shoulder on left, facial sensation intact motor - 5 / 5 strength throughout on right, l arm flaccid with 0 / 5 strength throughout, l leg with 2 - 3 / 5 proximal strength, otherwise 0 / 5 sens - intact to light touch throughout with marked extinction to dss reflex - brisk on the left side with upgoing toe ; otherwise normal coord -
******************
record date : 2070 - 11 - 07 eitel hospitalintern admission note cc mental status change, n / v hpi source : caregivers. patient s / p ativan / haldol for ct 50 yo man with phm significant for r mca stroke 10 / 20 / 69 resulting in hemocraniectomy due to malignant swelling which was complicated by brain abscess 3 / 70, development of l vi nerve palsy and s / p cranioplasty 10 / 20 / 70 presents for second admission in 2 weeks for n / v. last admission was 10 / 28 - 11 / 3 / 71 for nausea, vomiting, poor po intake, volatile blood sugars, agitation. family members describe the nausea seems to have a pattern worse in the mornings. this morning the patient was uncharacteristically agitated, which was characterized as mental status change. further questioning revealed abrupt cessation of duragesic patch and dilaudid by caregiver 24 hours ago. pmhx r mca cva with l sided weakness ue &gt; le chronic pain htn hyperlipidemia dm medications avandia 4 mg po q4 pravachol 20 qhs fentanyl patch 50 mcg / h qod dilaudid 2 - 4 mg q 3 - 4 prn simethicone insulin nph 20 u qam insulin regular ss insulin regular 10 u qpm lisinopril 20 qd lopressor 100 mg bid neurontin 1000 tid netformin 1000 bid celexa 20 qam nexium 40 bid allergies allegra social hx lives with daughter and female friend. former rn and big brother volunteer. has retirement party scheduled for wednesday - 150 invitees. no substances pe vs t : 98. 5 p : 59 bp : 167 / 87 r : 16 sao2 : 97 % ra gen arousable, incoherent heent perrl, could not cooperate with ocular exam, anicteric, op clear w / o erythema neck supple, no thyromegaly, no lan, no bruits, jvp flat chest cta b heart rrr, nl s1 / s2, no m / r / g abd mild epigastric tenderness, mild ruq tenderness to deep palpation, soft, nd, + bs, no masses, no hsm ext no c / c / e, dps 2 +
******************
n / v a. hold home regimen b. riss c. fs qid 4. depression. a. caregiver request to consult dr. valladares 5. dispo. possibly requiring rehab stay lona hendrix, md mpp 50959</t>
  </si>
  <si>
    <t>Crierion</t>
  </si>
  <si>
    <t>Definition</t>
  </si>
  <si>
    <t>: Drug abuse, current or past</t>
  </si>
  <si>
    <t>: Current alcohol use over weekly recommended limits</t>
  </si>
  <si>
    <t>: Patient must speak English</t>
  </si>
  <si>
    <t>: Patient must make their own medical decisions</t>
  </si>
  <si>
    <t>: History of intra-abdominal surgery, small or large intestine resection, or small bowel obstruction</t>
  </si>
  <si>
    <t>: Major diabetes-related complication. For the purposes of this annotation, we define “major complication” (as opposed to “minor complication”) as any of the following that are a result of (or strongly correlated with) uncontrolled diabetes: Amputation
Kidney damage
Skin conditions
Retinopathy
nephropathy
neuropathy</t>
  </si>
  <si>
    <t>: Advanced cardiovascular disease (CAD). For the purposes of this annotation, we define “advanced” as having 2 or more of the following:
Taking 2 or more medications to treat CAD
History of myocardial infarction (MI)
Currently experiencing angina
Ischemia, past or present</t>
  </si>
  <si>
    <t>: MI in the past 6 months</t>
  </si>
  <si>
    <t>KETO-1YR</t>
  </si>
  <si>
    <t>: Diagnosis of ketoacidosis in the past year</t>
  </si>
  <si>
    <t>: Taken a dietary supplement (excluding vitamin D) in the past 2 months</t>
  </si>
  <si>
    <t>: Use of aspirin to prevent MI</t>
  </si>
  <si>
    <t>: Any hemoglobin A1c (HbA1c) value between 6.5% and 9.5%</t>
  </si>
  <si>
    <t>: Serum creatinine &gt; upper limit of normal</t>
  </si>
  <si>
    <t>Model</t>
  </si>
  <si>
    <t>Retriever</t>
  </si>
  <si>
    <t>strategy</t>
  </si>
  <si>
    <t>chunks</t>
  </si>
  <si>
    <t>confidence</t>
  </si>
  <si>
    <t>unmatch</t>
  </si>
  <si>
    <t>match</t>
  </si>
  <si>
    <t>unmatch_percent</t>
  </si>
  <si>
    <t>match_percent</t>
  </si>
  <si>
    <t>gpt-4o-mini</t>
  </si>
  <si>
    <t>sentence-transformers_all-MiniLM-L6-v2</t>
  </si>
  <si>
    <t>all_criteria_all_notes</t>
  </si>
  <si>
    <t>low</t>
  </si>
  <si>
    <t>all_criteria_each_notes</t>
  </si>
  <si>
    <t>sentence-transformers_all-MiniLM-L6-v3</t>
  </si>
  <si>
    <t>each_criteria_each_notes</t>
  </si>
  <si>
    <t>sentence-transformers_all-MiniLM-L6-v4</t>
  </si>
  <si>
    <t>sentence-transformers_all-MiniLM-L6-v5</t>
  </si>
  <si>
    <t>sentence-transformers_all-MiniLM-L6-v6</t>
  </si>
  <si>
    <t>sentence-transformers_all-MiniLM-L6-v7</t>
  </si>
  <si>
    <t>sentence-transformers_all-MiniLM-L6-v8</t>
  </si>
  <si>
    <t>sentence-transformers_all-MiniLM-L6-v9</t>
  </si>
  <si>
    <t>each_criteria_all_notes</t>
  </si>
  <si>
    <t>sentence-transformers_all-MiniLM-L6-v10</t>
  </si>
  <si>
    <t>human2_annotation</t>
  </si>
  <si>
    <t>did not understand criteria defination</t>
  </si>
  <si>
    <t>stents is not always suwed for MI</t>
  </si>
  <si>
    <t>""will consult ep to assess pacer function - - pt has already ruled out for mi</t>
  </si>
  <si>
    <t xml:space="preserve">partially_complete </t>
  </si>
  <si>
    <t xml:space="preserve">complete </t>
  </si>
  <si>
    <t>not apply the defination of history of ischemia (took it as currect only)</t>
  </si>
  <si>
    <t xml:space="preserve">""cad s / p mi, recent mibi cardiac spect </t>
  </si>
  <si>
    <t xml:space="preserve">does not say per week or day in note </t>
  </si>
  <si>
    <t>assumption of taking omega-3 fatty acids</t>
  </si>
  <si>
    <t>although note mentioned elevated creatnine but this does not match the defintion which needs a number</t>
  </si>
  <si>
    <t xml:space="preserve">miss date </t>
  </si>
  <si>
    <t>"numbness or tingling in the feet. recurrent infections, poor healing of foot sores,"</t>
  </si>
  <si>
    <t>". please confirm that his daughter is his hcp. would try to use a chadian interpreter"</t>
  </si>
  <si>
    <t xml:space="preserve">phoslo is not a dietry supplement but and nepro is taken as needed and not daily supplement </t>
  </si>
  <si>
    <t>asssumed presence of an illness from sypmtoms</t>
  </si>
  <si>
    <t xml:space="preserve">calculation of diff. between dates is wrong </t>
  </si>
  <si>
    <t>cut off for male is not 1.2 and is 1.3</t>
  </si>
  <si>
    <t>psychosis</t>
  </si>
  <si>
    <t>last note is "cre 1. 3 "</t>
  </si>
  <si>
    <t xml:space="preserve">". she does not consume alcohol". Rational made up a sentence </t>
  </si>
  <si>
    <t>date</t>
  </si>
  <si>
    <t>dementia</t>
  </si>
  <si>
    <t xml:space="preserve">did not explicetly state "nstemi"  but can be also complete </t>
  </si>
  <si>
    <t>I could not find MI</t>
  </si>
  <si>
    <t>assumed illness from symptoms</t>
  </si>
  <si>
    <t>at the cutt_off is normal</t>
  </si>
  <si>
    <t xml:space="preserve">golden label is wrong </t>
  </si>
  <si>
    <t xml:space="preserve">use is not abuse </t>
  </si>
  <si>
    <t xml:space="preserve">not consider date </t>
  </si>
  <si>
    <t>human2_annotation_final</t>
  </si>
  <si>
    <t>human_agreement</t>
  </si>
  <si>
    <t xml:space="preserve">medium </t>
  </si>
  <si>
    <t>human2_annotaiton_complete</t>
  </si>
  <si>
    <t>human1_annotation</t>
  </si>
  <si>
    <t>human1_confidence</t>
  </si>
  <si>
    <t>human1_reaons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</si>
</sst>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sz val="14"/>
      <color rgb="FF1B1B1B"/>
      <name val="Cambria"/>
    </font>
    <font>
      <b/>
      <sz val="10"/>
      <color theme="1"/>
      <name val="Arial"/>
      <scheme val="minor"/>
    </font>
    <font>
      <sz val="10"/>
      <color theme="1"/>
      <name val="Arial"/>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8">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0" borderId="0" xfId="0" applyFont="1" applyAlignment="1">
      <alignment horizontal="right"/>
    </xf>
    <xf numFmtId="0" fontId="1" fillId="0" borderId="0" xfId="0" applyFont="1" applyAlignment="1">
      <alignment wrapText="1"/>
    </xf>
    <xf numFmtId="0" fontId="0" fillId="0" borderId="0" xfId="0" applyAlignment="1">
      <alignment wrapText="1"/>
    </xf>
    <xf numFmtId="0" fontId="1" fillId="3" borderId="0" xfId="0" applyFont="1" applyFill="1"/>
    <xf numFmtId="0" fontId="5" fillId="3" borderId="0" xfId="0" applyFont="1" applyFill="1"/>
    <xf numFmtId="0" fontId="0" fillId="3" borderId="0" xfId="0" applyFill="1"/>
    <xf numFmtId="0" fontId="6" fillId="0" borderId="1" xfId="0" applyFont="1" applyBorder="1" applyAlignment="1">
      <alignment vertical="top" wrapText="1"/>
    </xf>
    <xf numFmtId="0" fontId="0" fillId="0" borderId="0" xfId="0" applyAlignment="1">
      <alignment vertical="top"/>
    </xf>
    <xf numFmtId="0" fontId="6" fillId="0" borderId="1" xfId="0" applyFont="1" applyFill="1" applyBorder="1" applyAlignment="1">
      <alignment vertical="top" wrapText="1"/>
    </xf>
    <xf numFmtId="0" fontId="1" fillId="0" borderId="0" xfId="0" applyFont="1" applyFill="1"/>
    <xf numFmtId="0" fontId="1" fillId="0" borderId="0" xfId="0" applyFont="1" applyFill="1" applyAlignment="1">
      <alignment wrapText="1"/>
    </xf>
    <xf numFmtId="0" fontId="5" fillId="0" borderId="0" xfId="0" applyFon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tabSelected="1" topLeftCell="M1" workbookViewId="0">
      <selection activeCell="N1" sqref="N1:O1048576"/>
    </sheetView>
  </sheetViews>
  <sheetFormatPr defaultColWidth="12.6328125" defaultRowHeight="15.75" customHeight="1" x14ac:dyDescent="0.25"/>
  <cols>
    <col min="1" max="1" width="6.90625" customWidth="1"/>
    <col min="2" max="2" width="8.7265625" customWidth="1"/>
    <col min="9" max="9" width="13.7265625" customWidth="1"/>
    <col min="10" max="13" width="12.6328125" customWidth="1"/>
    <col min="14" max="14" width="12.6328125" style="12" customWidth="1"/>
    <col min="15" max="15" width="2.90625" customWidth="1"/>
    <col min="16" max="16" width="16.7265625" customWidth="1"/>
    <col min="17" max="17" width="14.54296875" customWidth="1"/>
    <col min="18" max="18" width="16.7265625" customWidth="1"/>
    <col min="19" max="19" width="1745.453125" style="7" hidden="1" customWidth="1"/>
    <col min="20" max="20" width="16.7265625" customWidth="1"/>
  </cols>
  <sheetData>
    <row r="1" spans="1:23" ht="15.75" customHeight="1" thickBot="1" x14ac:dyDescent="0.3">
      <c r="A1" s="1" t="s">
        <v>0</v>
      </c>
      <c r="B1" s="1" t="s">
        <v>1</v>
      </c>
      <c r="C1" s="1" t="s">
        <v>2</v>
      </c>
      <c r="D1" s="1" t="s">
        <v>3</v>
      </c>
      <c r="E1" s="1" t="s">
        <v>4</v>
      </c>
      <c r="F1" s="1" t="s">
        <v>5</v>
      </c>
      <c r="G1" s="1" t="s">
        <v>6</v>
      </c>
      <c r="H1" s="1" t="s">
        <v>7</v>
      </c>
      <c r="I1" s="1" t="s">
        <v>8</v>
      </c>
      <c r="J1" s="1" t="s">
        <v>9</v>
      </c>
      <c r="K1" s="1" t="s">
        <v>10</v>
      </c>
      <c r="L1" s="1" t="s">
        <v>11</v>
      </c>
      <c r="M1" s="1" t="s">
        <v>12</v>
      </c>
      <c r="N1" s="11" t="s">
        <v>419</v>
      </c>
      <c r="O1" s="8" t="s">
        <v>416</v>
      </c>
      <c r="P1" s="9" t="s">
        <v>420</v>
      </c>
      <c r="Q1" s="9" t="s">
        <v>421</v>
      </c>
      <c r="R1" s="9" t="s">
        <v>422</v>
      </c>
      <c r="S1" s="6" t="s">
        <v>13</v>
      </c>
      <c r="T1" s="1" t="s">
        <v>386</v>
      </c>
      <c r="U1" s="1" t="s">
        <v>14</v>
      </c>
      <c r="V1" s="10" t="s">
        <v>417</v>
      </c>
      <c r="W1" s="1" t="s">
        <v>15</v>
      </c>
    </row>
    <row r="2" spans="1:23" ht="15.75" customHeight="1" thickBot="1" x14ac:dyDescent="0.3">
      <c r="A2" s="1">
        <v>2</v>
      </c>
      <c r="B2" s="1">
        <v>115</v>
      </c>
      <c r="C2" s="1" t="s">
        <v>16</v>
      </c>
      <c r="D2" s="1"/>
      <c r="E2" s="1" t="s">
        <v>16</v>
      </c>
      <c r="F2" s="1" t="s">
        <v>17</v>
      </c>
      <c r="G2" s="1" t="s">
        <v>18</v>
      </c>
      <c r="H2" s="1">
        <v>0</v>
      </c>
      <c r="I2" s="1">
        <v>1</v>
      </c>
      <c r="J2" s="1" t="s">
        <v>19</v>
      </c>
      <c r="K2" s="1" t="s">
        <v>20</v>
      </c>
      <c r="L2" s="1" t="s">
        <v>21</v>
      </c>
      <c r="M2" s="1" t="s">
        <v>22</v>
      </c>
      <c r="N2" s="13" t="s">
        <v>25</v>
      </c>
      <c r="O2" s="14" t="s">
        <v>25</v>
      </c>
      <c r="P2" s="14" t="s">
        <v>25</v>
      </c>
      <c r="Q2" s="14" t="s">
        <v>20</v>
      </c>
      <c r="R2" s="14"/>
      <c r="S2" s="15" t="s">
        <v>24</v>
      </c>
      <c r="T2" s="14" t="s">
        <v>25</v>
      </c>
      <c r="U2" s="1" t="s">
        <v>20</v>
      </c>
      <c r="V2" t="str">
        <f>IF(N2="", P2, IF(P2=N2, P2, "mismatch"))</f>
        <v>complete</v>
      </c>
    </row>
    <row r="3" spans="1:23" ht="15.75" customHeight="1" thickBot="1" x14ac:dyDescent="0.3">
      <c r="A3" s="1">
        <v>3</v>
      </c>
      <c r="B3" s="1">
        <v>119</v>
      </c>
      <c r="C3" s="1" t="s">
        <v>26</v>
      </c>
      <c r="D3" s="1"/>
      <c r="E3" s="1" t="s">
        <v>26</v>
      </c>
      <c r="F3" s="1" t="s">
        <v>27</v>
      </c>
      <c r="G3" s="1" t="s">
        <v>28</v>
      </c>
      <c r="H3" s="1">
        <v>1</v>
      </c>
      <c r="I3" s="1">
        <v>0</v>
      </c>
      <c r="J3" s="1" t="s">
        <v>29</v>
      </c>
      <c r="K3" s="1" t="s">
        <v>20</v>
      </c>
      <c r="L3" s="1" t="s">
        <v>30</v>
      </c>
      <c r="M3" s="1" t="s">
        <v>31</v>
      </c>
      <c r="N3" s="13" t="s">
        <v>29</v>
      </c>
      <c r="O3" s="14" t="s">
        <v>29</v>
      </c>
      <c r="P3" s="14" t="s">
        <v>29</v>
      </c>
      <c r="Q3" s="16" t="s">
        <v>33</v>
      </c>
      <c r="R3" s="14" t="s">
        <v>387</v>
      </c>
      <c r="S3" s="15" t="s">
        <v>34</v>
      </c>
      <c r="T3" s="14" t="s">
        <v>29</v>
      </c>
      <c r="U3" s="1" t="s">
        <v>20</v>
      </c>
      <c r="V3" t="str">
        <f t="shared" ref="V3:V55" si="0">IF(N3="", P3, IF(P3=N3, P3, "mismatch"))</f>
        <v>logical_error</v>
      </c>
      <c r="W3" s="1" t="s">
        <v>35</v>
      </c>
    </row>
    <row r="4" spans="1:23" ht="15.75" customHeight="1" thickBot="1" x14ac:dyDescent="0.3">
      <c r="A4" s="1">
        <v>4</v>
      </c>
      <c r="B4" s="1">
        <v>120</v>
      </c>
      <c r="C4" s="1" t="s">
        <v>26</v>
      </c>
      <c r="D4" s="1"/>
      <c r="E4" s="1" t="s">
        <v>26</v>
      </c>
      <c r="F4" s="1" t="s">
        <v>36</v>
      </c>
      <c r="G4" s="1" t="s">
        <v>37</v>
      </c>
      <c r="H4" s="1">
        <v>1</v>
      </c>
      <c r="I4" s="1">
        <v>0</v>
      </c>
      <c r="J4" s="1" t="s">
        <v>25</v>
      </c>
      <c r="K4" s="1" t="s">
        <v>20</v>
      </c>
      <c r="L4" s="1" t="s">
        <v>38</v>
      </c>
      <c r="M4" s="1" t="s">
        <v>39</v>
      </c>
      <c r="N4" s="13" t="s">
        <v>32</v>
      </c>
      <c r="O4" s="14" t="s">
        <v>32</v>
      </c>
      <c r="P4" s="14" t="s">
        <v>32</v>
      </c>
      <c r="Q4" s="14" t="s">
        <v>20</v>
      </c>
      <c r="R4" s="14" t="s">
        <v>388</v>
      </c>
      <c r="S4" s="15" t="s">
        <v>40</v>
      </c>
      <c r="T4" s="14" t="s">
        <v>32</v>
      </c>
      <c r="U4" s="1" t="s">
        <v>20</v>
      </c>
      <c r="V4" t="str">
        <f t="shared" si="0"/>
        <v>assumption</v>
      </c>
      <c r="W4" s="1" t="s">
        <v>41</v>
      </c>
    </row>
    <row r="5" spans="1:23" ht="15.75" customHeight="1" thickBot="1" x14ac:dyDescent="0.3">
      <c r="A5" s="1">
        <v>5</v>
      </c>
      <c r="B5" s="1">
        <v>131</v>
      </c>
      <c r="C5" s="1" t="s">
        <v>42</v>
      </c>
      <c r="D5" s="1"/>
      <c r="E5" s="1" t="s">
        <v>42</v>
      </c>
      <c r="F5" s="1" t="s">
        <v>43</v>
      </c>
      <c r="G5" s="1" t="s">
        <v>44</v>
      </c>
      <c r="H5" s="1">
        <v>1</v>
      </c>
      <c r="I5" s="1">
        <v>0</v>
      </c>
      <c r="J5" s="1" t="s">
        <v>29</v>
      </c>
      <c r="K5" s="1" t="s">
        <v>20</v>
      </c>
      <c r="L5" s="1" t="s">
        <v>45</v>
      </c>
      <c r="M5" s="1" t="s">
        <v>46</v>
      </c>
      <c r="N5" s="13" t="s">
        <v>19</v>
      </c>
      <c r="O5" s="14" t="s">
        <v>19</v>
      </c>
      <c r="P5" s="14" t="s">
        <v>19</v>
      </c>
      <c r="Q5" s="16" t="s">
        <v>33</v>
      </c>
      <c r="R5" s="14"/>
      <c r="S5" s="15" t="s">
        <v>47</v>
      </c>
      <c r="T5" s="14" t="s">
        <v>19</v>
      </c>
      <c r="U5" s="1" t="s">
        <v>20</v>
      </c>
      <c r="V5" t="str">
        <f t="shared" si="0"/>
        <v>extraction_error</v>
      </c>
      <c r="W5" s="1" t="s">
        <v>48</v>
      </c>
    </row>
    <row r="6" spans="1:23" ht="15.75" customHeight="1" thickBot="1" x14ac:dyDescent="0.3">
      <c r="A6" s="1">
        <v>6</v>
      </c>
      <c r="B6" s="1">
        <v>135</v>
      </c>
      <c r="C6" s="1" t="s">
        <v>26</v>
      </c>
      <c r="D6" s="1"/>
      <c r="E6" s="1" t="s">
        <v>26</v>
      </c>
      <c r="F6" s="1" t="s">
        <v>49</v>
      </c>
      <c r="G6" s="1" t="s">
        <v>50</v>
      </c>
      <c r="H6" s="1">
        <v>0</v>
      </c>
      <c r="I6" s="1">
        <v>1</v>
      </c>
      <c r="J6" s="1" t="s">
        <v>23</v>
      </c>
      <c r="K6" s="1" t="s">
        <v>20</v>
      </c>
      <c r="L6" s="1" t="s">
        <v>51</v>
      </c>
      <c r="M6" s="1" t="s">
        <v>52</v>
      </c>
      <c r="N6" s="13" t="s">
        <v>19</v>
      </c>
      <c r="O6" s="14" t="s">
        <v>19</v>
      </c>
      <c r="P6" s="14" t="s">
        <v>25</v>
      </c>
      <c r="Q6" s="16" t="s">
        <v>20</v>
      </c>
      <c r="R6" s="14"/>
      <c r="S6" s="15" t="s">
        <v>53</v>
      </c>
      <c r="T6" s="14" t="s">
        <v>19</v>
      </c>
      <c r="U6" s="1" t="s">
        <v>20</v>
      </c>
      <c r="V6" t="str">
        <f t="shared" si="0"/>
        <v>mismatch</v>
      </c>
      <c r="W6" s="1" t="s">
        <v>54</v>
      </c>
    </row>
    <row r="7" spans="1:23" ht="15.75" customHeight="1" thickBot="1" x14ac:dyDescent="0.3">
      <c r="A7" s="1">
        <v>7</v>
      </c>
      <c r="B7" s="1">
        <v>135</v>
      </c>
      <c r="C7" s="1" t="s">
        <v>55</v>
      </c>
      <c r="D7" s="1"/>
      <c r="E7" s="1" t="s">
        <v>55</v>
      </c>
      <c r="F7" s="1" t="s">
        <v>56</v>
      </c>
      <c r="G7" s="1" t="s">
        <v>57</v>
      </c>
      <c r="H7" s="1">
        <v>1</v>
      </c>
      <c r="I7" s="1">
        <v>0</v>
      </c>
      <c r="J7" s="1" t="s">
        <v>25</v>
      </c>
      <c r="K7" s="1" t="s">
        <v>20</v>
      </c>
      <c r="L7" s="1" t="s">
        <v>58</v>
      </c>
      <c r="M7" s="1" t="s">
        <v>59</v>
      </c>
      <c r="N7" s="13" t="s">
        <v>25</v>
      </c>
      <c r="O7" s="14" t="s">
        <v>25</v>
      </c>
      <c r="P7" s="14" t="s">
        <v>32</v>
      </c>
      <c r="Q7" s="16" t="s">
        <v>418</v>
      </c>
      <c r="R7" s="14"/>
      <c r="S7" s="15" t="s">
        <v>60</v>
      </c>
      <c r="T7" s="14" t="s">
        <v>25</v>
      </c>
      <c r="U7" s="1" t="s">
        <v>20</v>
      </c>
      <c r="V7" t="str">
        <f t="shared" si="0"/>
        <v>mismatch</v>
      </c>
    </row>
    <row r="8" spans="1:23" ht="15.75" customHeight="1" thickBot="1" x14ac:dyDescent="0.3">
      <c r="A8" s="1">
        <v>9</v>
      </c>
      <c r="B8" s="1">
        <v>135</v>
      </c>
      <c r="C8" s="1" t="s">
        <v>61</v>
      </c>
      <c r="D8" s="1"/>
      <c r="E8" s="1" t="s">
        <v>61</v>
      </c>
      <c r="F8" s="1" t="s">
        <v>62</v>
      </c>
      <c r="G8" s="1" t="s">
        <v>63</v>
      </c>
      <c r="H8" s="1">
        <v>1</v>
      </c>
      <c r="I8" s="1">
        <v>0</v>
      </c>
      <c r="J8" s="1" t="s">
        <v>25</v>
      </c>
      <c r="K8" s="1" t="s">
        <v>20</v>
      </c>
      <c r="L8" s="1" t="s">
        <v>64</v>
      </c>
      <c r="M8" s="1" t="s">
        <v>65</v>
      </c>
      <c r="N8" s="16" t="s">
        <v>390</v>
      </c>
      <c r="O8" s="14" t="s">
        <v>390</v>
      </c>
      <c r="P8" s="16" t="s">
        <v>390</v>
      </c>
      <c r="Q8" s="14" t="s">
        <v>20</v>
      </c>
      <c r="R8" s="14" t="s">
        <v>415</v>
      </c>
      <c r="S8" s="15" t="s">
        <v>66</v>
      </c>
      <c r="T8" s="14" t="s">
        <v>23</v>
      </c>
      <c r="U8" s="1" t="s">
        <v>20</v>
      </c>
      <c r="V8" t="str">
        <f t="shared" si="0"/>
        <v xml:space="preserve">partially_complete </v>
      </c>
      <c r="W8" s="1" t="s">
        <v>67</v>
      </c>
    </row>
    <row r="9" spans="1:23" ht="15.75" customHeight="1" thickBot="1" x14ac:dyDescent="0.3">
      <c r="A9" s="1">
        <v>12</v>
      </c>
      <c r="B9" s="1">
        <v>137</v>
      </c>
      <c r="C9" s="1" t="s">
        <v>68</v>
      </c>
      <c r="D9" s="1"/>
      <c r="E9" s="1" t="s">
        <v>68</v>
      </c>
      <c r="F9" s="1" t="s">
        <v>69</v>
      </c>
      <c r="G9" s="1" t="s">
        <v>70</v>
      </c>
      <c r="H9" s="1">
        <v>0</v>
      </c>
      <c r="I9" s="1">
        <v>1</v>
      </c>
      <c r="J9" s="1" t="s">
        <v>29</v>
      </c>
      <c r="K9" s="1" t="s">
        <v>20</v>
      </c>
      <c r="L9" s="1" t="s">
        <v>71</v>
      </c>
      <c r="M9" s="1" t="s">
        <v>72</v>
      </c>
      <c r="N9" s="13" t="s">
        <v>25</v>
      </c>
      <c r="O9" s="14" t="s">
        <v>25</v>
      </c>
      <c r="P9" s="14" t="s">
        <v>19</v>
      </c>
      <c r="Q9" s="14" t="s">
        <v>20</v>
      </c>
      <c r="R9" s="14" t="s">
        <v>389</v>
      </c>
      <c r="S9" s="15" t="s">
        <v>73</v>
      </c>
      <c r="T9" s="14" t="s">
        <v>25</v>
      </c>
      <c r="U9" s="1" t="s">
        <v>20</v>
      </c>
      <c r="V9" t="str">
        <f t="shared" si="0"/>
        <v>mismatch</v>
      </c>
      <c r="W9" s="1" t="s">
        <v>74</v>
      </c>
    </row>
    <row r="10" spans="1:23" ht="15.75" customHeight="1" thickBot="1" x14ac:dyDescent="0.3">
      <c r="A10" s="1">
        <v>14</v>
      </c>
      <c r="B10" s="1">
        <v>140</v>
      </c>
      <c r="C10" s="1" t="s">
        <v>26</v>
      </c>
      <c r="D10" s="1"/>
      <c r="E10" s="1" t="s">
        <v>26</v>
      </c>
      <c r="F10" s="1" t="s">
        <v>75</v>
      </c>
      <c r="G10" s="1" t="s">
        <v>76</v>
      </c>
      <c r="H10" s="1">
        <v>1</v>
      </c>
      <c r="I10" s="1">
        <v>0</v>
      </c>
      <c r="J10" s="1" t="s">
        <v>23</v>
      </c>
      <c r="K10" s="1" t="s">
        <v>33</v>
      </c>
      <c r="L10" s="1" t="s">
        <v>77</v>
      </c>
      <c r="M10" s="1" t="s">
        <v>78</v>
      </c>
      <c r="N10" s="13" t="s">
        <v>25</v>
      </c>
      <c r="O10" s="14" t="s">
        <v>25</v>
      </c>
      <c r="P10" s="14" t="s">
        <v>25</v>
      </c>
      <c r="Q10" s="14" t="s">
        <v>20</v>
      </c>
      <c r="R10" s="14"/>
      <c r="S10" s="15" t="s">
        <v>79</v>
      </c>
      <c r="T10" s="14" t="s">
        <v>25</v>
      </c>
      <c r="U10" s="1" t="s">
        <v>20</v>
      </c>
      <c r="V10" t="str">
        <f t="shared" si="0"/>
        <v>complete</v>
      </c>
    </row>
    <row r="11" spans="1:23" ht="15.75" customHeight="1" thickBot="1" x14ac:dyDescent="0.3">
      <c r="A11" s="1">
        <v>15</v>
      </c>
      <c r="B11" s="1">
        <v>153</v>
      </c>
      <c r="C11" s="1" t="s">
        <v>26</v>
      </c>
      <c r="D11" s="1"/>
      <c r="E11" s="1" t="s">
        <v>26</v>
      </c>
      <c r="F11" s="1" t="s">
        <v>80</v>
      </c>
      <c r="G11" s="1" t="s">
        <v>81</v>
      </c>
      <c r="H11" s="1">
        <v>0</v>
      </c>
      <c r="I11" s="1">
        <v>1</v>
      </c>
      <c r="J11" s="1" t="s">
        <v>19</v>
      </c>
      <c r="K11" s="1" t="s">
        <v>20</v>
      </c>
      <c r="L11" s="1" t="s">
        <v>82</v>
      </c>
      <c r="M11" s="1" t="s">
        <v>83</v>
      </c>
      <c r="N11" s="13" t="s">
        <v>19</v>
      </c>
      <c r="O11" s="14" t="s">
        <v>19</v>
      </c>
      <c r="P11" s="14" t="s">
        <v>29</v>
      </c>
      <c r="Q11" s="16" t="s">
        <v>33</v>
      </c>
      <c r="R11" s="14" t="s">
        <v>392</v>
      </c>
      <c r="S11" s="15" t="s">
        <v>84</v>
      </c>
      <c r="T11" s="14" t="s">
        <v>19</v>
      </c>
      <c r="U11" s="1" t="s">
        <v>20</v>
      </c>
      <c r="V11" t="str">
        <f t="shared" si="0"/>
        <v>mismatch</v>
      </c>
      <c r="W11" s="1" t="s">
        <v>85</v>
      </c>
    </row>
    <row r="12" spans="1:23" ht="15.75" customHeight="1" thickBot="1" x14ac:dyDescent="0.3">
      <c r="A12" s="1">
        <v>18</v>
      </c>
      <c r="B12" s="1">
        <v>156</v>
      </c>
      <c r="C12" s="1" t="s">
        <v>42</v>
      </c>
      <c r="D12" s="1"/>
      <c r="E12" s="1" t="s">
        <v>42</v>
      </c>
      <c r="F12" s="1" t="s">
        <v>86</v>
      </c>
      <c r="G12" s="1" t="s">
        <v>87</v>
      </c>
      <c r="H12" s="1">
        <v>0</v>
      </c>
      <c r="I12" s="1">
        <v>1</v>
      </c>
      <c r="J12" s="1" t="s">
        <v>32</v>
      </c>
      <c r="K12" s="1" t="s">
        <v>20</v>
      </c>
      <c r="L12" s="1" t="s">
        <v>88</v>
      </c>
      <c r="M12" s="1" t="s">
        <v>89</v>
      </c>
      <c r="N12" s="13" t="s">
        <v>25</v>
      </c>
      <c r="O12" s="14" t="s">
        <v>25</v>
      </c>
      <c r="P12" s="14" t="s">
        <v>25</v>
      </c>
      <c r="Q12" s="14" t="s">
        <v>20</v>
      </c>
      <c r="R12" s="14"/>
      <c r="S12" s="15" t="s">
        <v>90</v>
      </c>
      <c r="T12" s="14" t="s">
        <v>25</v>
      </c>
      <c r="U12" s="1" t="s">
        <v>33</v>
      </c>
      <c r="V12" t="str">
        <f t="shared" si="0"/>
        <v>complete</v>
      </c>
      <c r="W12" s="1" t="s">
        <v>91</v>
      </c>
    </row>
    <row r="13" spans="1:23" ht="15.75" customHeight="1" thickBot="1" x14ac:dyDescent="0.3">
      <c r="A13" s="1">
        <v>23</v>
      </c>
      <c r="B13" s="1">
        <v>167</v>
      </c>
      <c r="C13" s="1" t="s">
        <v>26</v>
      </c>
      <c r="D13" s="1"/>
      <c r="E13" s="1" t="s">
        <v>26</v>
      </c>
      <c r="F13" s="1" t="s">
        <v>92</v>
      </c>
      <c r="G13" s="1" t="s">
        <v>93</v>
      </c>
      <c r="H13" s="1">
        <v>0</v>
      </c>
      <c r="I13" s="1">
        <v>1</v>
      </c>
      <c r="J13" s="1" t="s">
        <v>19</v>
      </c>
      <c r="K13" s="1" t="s">
        <v>20</v>
      </c>
      <c r="L13" s="1" t="s">
        <v>94</v>
      </c>
      <c r="M13" s="1" t="s">
        <v>95</v>
      </c>
      <c r="N13" s="13" t="s">
        <v>23</v>
      </c>
      <c r="O13" s="14" t="s">
        <v>23</v>
      </c>
      <c r="P13" s="14" t="s">
        <v>19</v>
      </c>
      <c r="Q13" s="14" t="s">
        <v>20</v>
      </c>
      <c r="R13" s="14" t="s">
        <v>393</v>
      </c>
      <c r="S13" s="15" t="s">
        <v>96</v>
      </c>
      <c r="T13" s="14" t="s">
        <v>23</v>
      </c>
      <c r="U13" s="1" t="s">
        <v>20</v>
      </c>
      <c r="V13" t="str">
        <f t="shared" si="0"/>
        <v>mismatch</v>
      </c>
      <c r="W13" s="1" t="s">
        <v>97</v>
      </c>
    </row>
    <row r="14" spans="1:23" ht="15.75" customHeight="1" thickBot="1" x14ac:dyDescent="0.3">
      <c r="A14" s="1">
        <v>24</v>
      </c>
      <c r="B14" s="1">
        <v>167</v>
      </c>
      <c r="C14" s="1" t="s">
        <v>61</v>
      </c>
      <c r="D14" s="1"/>
      <c r="E14" s="1" t="s">
        <v>61</v>
      </c>
      <c r="F14" s="1" t="s">
        <v>98</v>
      </c>
      <c r="G14" s="1" t="s">
        <v>99</v>
      </c>
      <c r="H14" s="1">
        <v>1</v>
      </c>
      <c r="I14" s="1">
        <v>0</v>
      </c>
      <c r="J14" s="1" t="s">
        <v>32</v>
      </c>
      <c r="K14" s="1" t="s">
        <v>20</v>
      </c>
      <c r="L14" s="1" t="s">
        <v>100</v>
      </c>
      <c r="M14" s="1" t="s">
        <v>101</v>
      </c>
      <c r="N14" s="13" t="s">
        <v>32</v>
      </c>
      <c r="O14" s="14" t="s">
        <v>32</v>
      </c>
      <c r="P14" s="14" t="s">
        <v>32</v>
      </c>
      <c r="Q14" s="14" t="s">
        <v>20</v>
      </c>
      <c r="R14" s="14" t="s">
        <v>395</v>
      </c>
      <c r="S14" s="15" t="s">
        <v>102</v>
      </c>
      <c r="T14" s="14" t="s">
        <v>32</v>
      </c>
      <c r="U14" s="1" t="s">
        <v>20</v>
      </c>
      <c r="V14" t="str">
        <f t="shared" si="0"/>
        <v>assumption</v>
      </c>
      <c r="W14" s="1" t="s">
        <v>103</v>
      </c>
    </row>
    <row r="15" spans="1:23" ht="15.75" customHeight="1" thickBot="1" x14ac:dyDescent="0.3">
      <c r="A15" s="1">
        <v>25</v>
      </c>
      <c r="B15" s="1">
        <v>171</v>
      </c>
      <c r="C15" s="1" t="s">
        <v>104</v>
      </c>
      <c r="D15" s="1"/>
      <c r="E15" s="1" t="s">
        <v>104</v>
      </c>
      <c r="F15" s="1" t="s">
        <v>105</v>
      </c>
      <c r="G15" s="1" t="s">
        <v>106</v>
      </c>
      <c r="H15" s="1">
        <v>0</v>
      </c>
      <c r="I15" s="1">
        <v>1</v>
      </c>
      <c r="J15" s="1" t="s">
        <v>25</v>
      </c>
      <c r="K15" s="1" t="s">
        <v>20</v>
      </c>
      <c r="L15" s="1" t="s">
        <v>107</v>
      </c>
      <c r="M15" s="1" t="s">
        <v>108</v>
      </c>
      <c r="N15" s="13" t="s">
        <v>32</v>
      </c>
      <c r="O15" s="14" t="s">
        <v>32</v>
      </c>
      <c r="P15" s="14" t="s">
        <v>25</v>
      </c>
      <c r="Q15" s="14" t="s">
        <v>33</v>
      </c>
      <c r="R15" s="14" t="s">
        <v>396</v>
      </c>
      <c r="S15" s="15" t="s">
        <v>109</v>
      </c>
      <c r="T15" s="14" t="s">
        <v>32</v>
      </c>
      <c r="U15" s="1" t="s">
        <v>33</v>
      </c>
      <c r="V15" t="str">
        <f t="shared" si="0"/>
        <v>mismatch</v>
      </c>
      <c r="W15" s="1" t="s">
        <v>110</v>
      </c>
    </row>
    <row r="16" spans="1:23" ht="15.75" customHeight="1" thickBot="1" x14ac:dyDescent="0.3">
      <c r="A16" s="1">
        <v>27</v>
      </c>
      <c r="B16" s="1">
        <v>178</v>
      </c>
      <c r="C16" s="1" t="s">
        <v>111</v>
      </c>
      <c r="D16" s="1"/>
      <c r="E16" s="1" t="s">
        <v>111</v>
      </c>
      <c r="F16" s="1" t="s">
        <v>112</v>
      </c>
      <c r="G16" s="1" t="s">
        <v>113</v>
      </c>
      <c r="H16" s="1">
        <v>1</v>
      </c>
      <c r="I16" s="1">
        <v>0</v>
      </c>
      <c r="J16" s="1" t="s">
        <v>29</v>
      </c>
      <c r="K16" s="1" t="s">
        <v>20</v>
      </c>
      <c r="L16" s="1" t="s">
        <v>114</v>
      </c>
      <c r="M16" s="1" t="s">
        <v>115</v>
      </c>
      <c r="N16" s="13" t="s">
        <v>32</v>
      </c>
      <c r="O16" s="14" t="s">
        <v>32</v>
      </c>
      <c r="P16" s="14" t="s">
        <v>32</v>
      </c>
      <c r="Q16" s="14" t="s">
        <v>20</v>
      </c>
      <c r="R16" s="14" t="s">
        <v>394</v>
      </c>
      <c r="S16" s="15" t="s">
        <v>116</v>
      </c>
      <c r="T16" s="14" t="s">
        <v>32</v>
      </c>
      <c r="U16" s="1" t="s">
        <v>33</v>
      </c>
      <c r="V16" t="str">
        <f t="shared" si="0"/>
        <v>assumption</v>
      </c>
      <c r="W16" s="1" t="s">
        <v>117</v>
      </c>
    </row>
    <row r="17" spans="1:23" ht="15.75" customHeight="1" thickBot="1" x14ac:dyDescent="0.3">
      <c r="A17" s="1">
        <v>29</v>
      </c>
      <c r="B17" s="1">
        <v>182</v>
      </c>
      <c r="C17" s="1" t="s">
        <v>55</v>
      </c>
      <c r="D17" s="1"/>
      <c r="E17" s="1" t="s">
        <v>55</v>
      </c>
      <c r="F17" s="1" t="s">
        <v>118</v>
      </c>
      <c r="G17" s="1" t="s">
        <v>119</v>
      </c>
      <c r="H17" s="1">
        <v>1</v>
      </c>
      <c r="I17" s="1">
        <v>0</v>
      </c>
      <c r="J17" s="1" t="s">
        <v>29</v>
      </c>
      <c r="K17" s="1" t="s">
        <v>20</v>
      </c>
      <c r="L17" s="1" t="s">
        <v>120</v>
      </c>
      <c r="M17" s="1" t="s">
        <v>121</v>
      </c>
      <c r="N17" s="13" t="s">
        <v>19</v>
      </c>
      <c r="O17" s="14" t="s">
        <v>19</v>
      </c>
      <c r="P17" s="14" t="s">
        <v>19</v>
      </c>
      <c r="Q17" s="14" t="s">
        <v>33</v>
      </c>
      <c r="R17" s="14" t="s">
        <v>409</v>
      </c>
      <c r="S17" s="15" t="s">
        <v>122</v>
      </c>
      <c r="T17" s="14" t="s">
        <v>19</v>
      </c>
      <c r="U17" s="1" t="s">
        <v>20</v>
      </c>
      <c r="V17" t="str">
        <f t="shared" si="0"/>
        <v>extraction_error</v>
      </c>
      <c r="W17" s="1" t="s">
        <v>123</v>
      </c>
    </row>
    <row r="18" spans="1:23" ht="15.75" customHeight="1" thickBot="1" x14ac:dyDescent="0.3">
      <c r="A18" s="1">
        <v>30</v>
      </c>
      <c r="B18" s="1">
        <v>182</v>
      </c>
      <c r="C18" s="1" t="s">
        <v>16</v>
      </c>
      <c r="D18" s="1"/>
      <c r="E18" s="1" t="s">
        <v>16</v>
      </c>
      <c r="F18" s="1" t="s">
        <v>124</v>
      </c>
      <c r="G18" s="1" t="s">
        <v>125</v>
      </c>
      <c r="H18" s="1">
        <v>0</v>
      </c>
      <c r="I18" s="1">
        <v>1</v>
      </c>
      <c r="J18" s="1" t="s">
        <v>19</v>
      </c>
      <c r="K18" s="1" t="s">
        <v>20</v>
      </c>
      <c r="L18" s="1" t="s">
        <v>126</v>
      </c>
      <c r="M18" s="1" t="s">
        <v>127</v>
      </c>
      <c r="N18" s="13" t="s">
        <v>32</v>
      </c>
      <c r="O18" s="14" t="s">
        <v>32</v>
      </c>
      <c r="P18" s="14" t="s">
        <v>391</v>
      </c>
      <c r="Q18" s="14" t="s">
        <v>20</v>
      </c>
      <c r="R18" s="14"/>
      <c r="S18" s="15" t="s">
        <v>128</v>
      </c>
      <c r="T18" s="14" t="s">
        <v>32</v>
      </c>
      <c r="U18" s="1" t="s">
        <v>33</v>
      </c>
      <c r="V18" t="str">
        <f t="shared" si="0"/>
        <v>mismatch</v>
      </c>
      <c r="W18" s="1" t="s">
        <v>129</v>
      </c>
    </row>
    <row r="19" spans="1:23" ht="15.75" customHeight="1" thickBot="1" x14ac:dyDescent="0.3">
      <c r="A19" s="1">
        <v>32</v>
      </c>
      <c r="B19" s="1">
        <v>201</v>
      </c>
      <c r="C19" s="1" t="s">
        <v>61</v>
      </c>
      <c r="D19" s="1"/>
      <c r="E19" s="1" t="s">
        <v>61</v>
      </c>
      <c r="F19" s="1" t="s">
        <v>130</v>
      </c>
      <c r="G19" s="1" t="s">
        <v>131</v>
      </c>
      <c r="H19" s="1">
        <v>1</v>
      </c>
      <c r="I19" s="1">
        <v>0</v>
      </c>
      <c r="J19" s="1" t="s">
        <v>19</v>
      </c>
      <c r="K19" s="1" t="s">
        <v>20</v>
      </c>
      <c r="L19" s="1" t="s">
        <v>132</v>
      </c>
      <c r="M19" s="1" t="s">
        <v>133</v>
      </c>
      <c r="N19" s="13" t="s">
        <v>32</v>
      </c>
      <c r="O19" s="14" t="s">
        <v>32</v>
      </c>
      <c r="P19" s="14" t="s">
        <v>32</v>
      </c>
      <c r="Q19" s="14" t="s">
        <v>20</v>
      </c>
      <c r="R19" s="14" t="s">
        <v>397</v>
      </c>
      <c r="S19" s="15" t="s">
        <v>134</v>
      </c>
      <c r="T19" s="14" t="s">
        <v>32</v>
      </c>
      <c r="U19" s="1" t="s">
        <v>20</v>
      </c>
      <c r="V19" t="str">
        <f t="shared" si="0"/>
        <v>assumption</v>
      </c>
      <c r="W19" s="1" t="s">
        <v>135</v>
      </c>
    </row>
    <row r="20" spans="1:23" ht="15.75" customHeight="1" thickBot="1" x14ac:dyDescent="0.3">
      <c r="A20" s="1">
        <v>34</v>
      </c>
      <c r="B20" s="1">
        <v>216</v>
      </c>
      <c r="C20" s="1" t="s">
        <v>61</v>
      </c>
      <c r="D20" s="1"/>
      <c r="E20" s="1" t="s">
        <v>61</v>
      </c>
      <c r="F20" s="1" t="s">
        <v>136</v>
      </c>
      <c r="G20" s="1" t="s">
        <v>137</v>
      </c>
      <c r="H20" s="1">
        <v>1</v>
      </c>
      <c r="I20" s="1">
        <v>0</v>
      </c>
      <c r="J20" s="1" t="s">
        <v>25</v>
      </c>
      <c r="K20" s="1" t="s">
        <v>20</v>
      </c>
      <c r="L20" s="1" t="s">
        <v>138</v>
      </c>
      <c r="M20" s="1" t="s">
        <v>139</v>
      </c>
      <c r="N20" s="13" t="s">
        <v>32</v>
      </c>
      <c r="O20" s="14" t="s">
        <v>32</v>
      </c>
      <c r="P20" s="14" t="s">
        <v>32</v>
      </c>
      <c r="Q20" s="14" t="s">
        <v>20</v>
      </c>
      <c r="R20" s="14" t="s">
        <v>397</v>
      </c>
      <c r="S20" s="15" t="s">
        <v>140</v>
      </c>
      <c r="T20" s="14" t="s">
        <v>32</v>
      </c>
      <c r="U20" s="1" t="s">
        <v>20</v>
      </c>
      <c r="V20" t="str">
        <f t="shared" si="0"/>
        <v>assumption</v>
      </c>
      <c r="W20" s="1" t="s">
        <v>141</v>
      </c>
    </row>
    <row r="21" spans="1:23" ht="15.75" customHeight="1" thickBot="1" x14ac:dyDescent="0.3">
      <c r="A21" s="1">
        <v>36</v>
      </c>
      <c r="B21" s="1">
        <v>218</v>
      </c>
      <c r="C21" s="1" t="s">
        <v>104</v>
      </c>
      <c r="D21" s="1"/>
      <c r="E21" s="1" t="s">
        <v>104</v>
      </c>
      <c r="F21" s="1" t="s">
        <v>142</v>
      </c>
      <c r="G21" s="1" t="s">
        <v>143</v>
      </c>
      <c r="H21" s="1">
        <v>0</v>
      </c>
      <c r="I21" s="1">
        <v>1</v>
      </c>
      <c r="J21" s="1" t="s">
        <v>25</v>
      </c>
      <c r="K21" s="1" t="s">
        <v>20</v>
      </c>
      <c r="L21" s="1" t="s">
        <v>144</v>
      </c>
      <c r="M21" s="1" t="s">
        <v>145</v>
      </c>
      <c r="N21" s="13" t="s">
        <v>25</v>
      </c>
      <c r="O21" s="14" t="s">
        <v>25</v>
      </c>
      <c r="P21" s="14" t="s">
        <v>25</v>
      </c>
      <c r="Q21" s="14" t="s">
        <v>20</v>
      </c>
      <c r="R21" s="14"/>
      <c r="S21" s="15" t="s">
        <v>146</v>
      </c>
      <c r="T21" s="14" t="s">
        <v>25</v>
      </c>
      <c r="U21" s="1" t="s">
        <v>20</v>
      </c>
      <c r="V21" t="str">
        <f t="shared" si="0"/>
        <v>complete</v>
      </c>
    </row>
    <row r="22" spans="1:23" ht="15.75" customHeight="1" thickBot="1" x14ac:dyDescent="0.3">
      <c r="A22" s="1">
        <v>37</v>
      </c>
      <c r="B22" s="1">
        <v>218</v>
      </c>
      <c r="C22" s="1" t="s">
        <v>61</v>
      </c>
      <c r="D22" s="1"/>
      <c r="E22" s="1" t="s">
        <v>61</v>
      </c>
      <c r="F22" s="1" t="s">
        <v>147</v>
      </c>
      <c r="G22" s="1" t="s">
        <v>148</v>
      </c>
      <c r="H22" s="1">
        <v>1</v>
      </c>
      <c r="I22" s="1">
        <v>0</v>
      </c>
      <c r="J22" s="1" t="s">
        <v>25</v>
      </c>
      <c r="K22" s="1" t="s">
        <v>20</v>
      </c>
      <c r="L22" s="1" t="s">
        <v>149</v>
      </c>
      <c r="M22" s="1" t="s">
        <v>150</v>
      </c>
      <c r="N22" s="13" t="s">
        <v>32</v>
      </c>
      <c r="O22" s="14" t="s">
        <v>32</v>
      </c>
      <c r="P22" s="14" t="s">
        <v>32</v>
      </c>
      <c r="Q22" s="14" t="s">
        <v>33</v>
      </c>
      <c r="R22" s="14" t="s">
        <v>407</v>
      </c>
      <c r="S22" s="15" t="s">
        <v>151</v>
      </c>
      <c r="T22" s="14" t="s">
        <v>32</v>
      </c>
      <c r="U22" s="1" t="s">
        <v>20</v>
      </c>
      <c r="V22" t="str">
        <f t="shared" si="0"/>
        <v>assumption</v>
      </c>
      <c r="W22" s="1" t="s">
        <v>135</v>
      </c>
    </row>
    <row r="23" spans="1:23" ht="15.75" customHeight="1" thickBot="1" x14ac:dyDescent="0.3">
      <c r="A23" s="1">
        <v>40</v>
      </c>
      <c r="B23" s="1">
        <v>224</v>
      </c>
      <c r="C23" s="1" t="s">
        <v>16</v>
      </c>
      <c r="D23" s="1"/>
      <c r="E23" s="1" t="s">
        <v>16</v>
      </c>
      <c r="F23" s="1" t="s">
        <v>152</v>
      </c>
      <c r="G23" s="1" t="s">
        <v>153</v>
      </c>
      <c r="H23" s="1">
        <v>0</v>
      </c>
      <c r="I23" s="1">
        <v>1</v>
      </c>
      <c r="J23" s="1" t="s">
        <v>25</v>
      </c>
      <c r="K23" s="1" t="s">
        <v>20</v>
      </c>
      <c r="L23" s="1" t="s">
        <v>154</v>
      </c>
      <c r="M23" s="1" t="s">
        <v>155</v>
      </c>
      <c r="N23" s="13" t="s">
        <v>25</v>
      </c>
      <c r="O23" s="14"/>
      <c r="P23" s="14" t="s">
        <v>19</v>
      </c>
      <c r="Q23" s="14" t="s">
        <v>20</v>
      </c>
      <c r="R23" s="14" t="s">
        <v>398</v>
      </c>
      <c r="S23" s="15" t="s">
        <v>156</v>
      </c>
      <c r="T23" s="17"/>
      <c r="V23" t="str">
        <f t="shared" si="0"/>
        <v>mismatch</v>
      </c>
    </row>
    <row r="24" spans="1:23" ht="15.75" customHeight="1" thickBot="1" x14ac:dyDescent="0.3">
      <c r="A24" s="1">
        <v>41</v>
      </c>
      <c r="B24" s="1">
        <v>227</v>
      </c>
      <c r="C24" s="1" t="s">
        <v>157</v>
      </c>
      <c r="D24" s="1"/>
      <c r="E24" s="1" t="s">
        <v>157</v>
      </c>
      <c r="F24" s="1" t="s">
        <v>158</v>
      </c>
      <c r="G24" s="1" t="s">
        <v>159</v>
      </c>
      <c r="H24" s="1">
        <v>0</v>
      </c>
      <c r="I24" s="1">
        <v>1</v>
      </c>
      <c r="J24" s="1" t="s">
        <v>19</v>
      </c>
      <c r="K24" s="1" t="s">
        <v>20</v>
      </c>
      <c r="L24" s="1" t="s">
        <v>160</v>
      </c>
      <c r="M24" s="1" t="s">
        <v>161</v>
      </c>
      <c r="N24" s="13" t="s">
        <v>23</v>
      </c>
      <c r="O24" s="14" t="s">
        <v>23</v>
      </c>
      <c r="P24" s="14" t="s">
        <v>25</v>
      </c>
      <c r="Q24" s="14" t="s">
        <v>20</v>
      </c>
      <c r="R24" s="14"/>
      <c r="S24" s="15" t="s">
        <v>162</v>
      </c>
      <c r="T24" s="14" t="s">
        <v>23</v>
      </c>
      <c r="U24" s="1" t="s">
        <v>20</v>
      </c>
      <c r="V24" t="str">
        <f t="shared" si="0"/>
        <v>mismatch</v>
      </c>
      <c r="W24" s="1" t="s">
        <v>163</v>
      </c>
    </row>
    <row r="25" spans="1:23" ht="15.75" customHeight="1" thickBot="1" x14ac:dyDescent="0.3">
      <c r="A25" s="1">
        <v>46</v>
      </c>
      <c r="B25" s="1">
        <v>239</v>
      </c>
      <c r="C25" s="1" t="s">
        <v>55</v>
      </c>
      <c r="D25" s="1"/>
      <c r="E25" s="1" t="s">
        <v>55</v>
      </c>
      <c r="F25" s="1" t="s">
        <v>164</v>
      </c>
      <c r="G25" s="1" t="s">
        <v>165</v>
      </c>
      <c r="H25" s="1">
        <v>1</v>
      </c>
      <c r="I25" s="1">
        <v>0</v>
      </c>
      <c r="J25" s="1" t="s">
        <v>29</v>
      </c>
      <c r="K25" s="1" t="s">
        <v>20</v>
      </c>
      <c r="L25" s="1" t="s">
        <v>166</v>
      </c>
      <c r="M25" s="1" t="s">
        <v>167</v>
      </c>
      <c r="N25" s="13" t="s">
        <v>32</v>
      </c>
      <c r="O25" s="14" t="s">
        <v>32</v>
      </c>
      <c r="P25" s="14" t="s">
        <v>32</v>
      </c>
      <c r="Q25" s="14" t="s">
        <v>33</v>
      </c>
      <c r="R25" s="14" t="s">
        <v>410</v>
      </c>
      <c r="S25" s="15" t="s">
        <v>168</v>
      </c>
      <c r="T25" s="14" t="s">
        <v>32</v>
      </c>
      <c r="U25" s="1" t="s">
        <v>33</v>
      </c>
      <c r="V25" t="str">
        <f t="shared" si="0"/>
        <v>assumption</v>
      </c>
      <c r="W25" s="1" t="s">
        <v>169</v>
      </c>
    </row>
    <row r="26" spans="1:23" ht="15.75" customHeight="1" thickBot="1" x14ac:dyDescent="0.3">
      <c r="A26" s="1">
        <v>47</v>
      </c>
      <c r="B26" s="1">
        <v>239</v>
      </c>
      <c r="C26" s="1" t="s">
        <v>170</v>
      </c>
      <c r="D26" s="1"/>
      <c r="E26" s="1" t="s">
        <v>170</v>
      </c>
      <c r="F26" s="1" t="s">
        <v>171</v>
      </c>
      <c r="G26" s="1" t="s">
        <v>172</v>
      </c>
      <c r="H26" s="1">
        <v>1</v>
      </c>
      <c r="I26" s="1">
        <v>0</v>
      </c>
      <c r="J26" s="1" t="s">
        <v>32</v>
      </c>
      <c r="K26" s="1" t="s">
        <v>20</v>
      </c>
      <c r="L26" s="1" t="s">
        <v>173</v>
      </c>
      <c r="M26" s="1" t="s">
        <v>174</v>
      </c>
      <c r="N26" s="13" t="s">
        <v>176</v>
      </c>
      <c r="O26" s="14" t="s">
        <v>176</v>
      </c>
      <c r="P26" s="14" t="s">
        <v>19</v>
      </c>
      <c r="Q26" s="14" t="s">
        <v>20</v>
      </c>
      <c r="R26" s="14" t="s">
        <v>399</v>
      </c>
      <c r="S26" s="15" t="s">
        <v>175</v>
      </c>
      <c r="T26" s="14" t="s">
        <v>176</v>
      </c>
      <c r="U26" s="1" t="s">
        <v>33</v>
      </c>
      <c r="V26" t="str">
        <f t="shared" si="0"/>
        <v>mismatch</v>
      </c>
      <c r="W26" s="1" t="s">
        <v>177</v>
      </c>
    </row>
    <row r="27" spans="1:23" ht="15.75" customHeight="1" thickBot="1" x14ac:dyDescent="0.3">
      <c r="A27" s="1">
        <v>52</v>
      </c>
      <c r="B27" s="1">
        <v>251</v>
      </c>
      <c r="C27" s="1" t="s">
        <v>104</v>
      </c>
      <c r="D27" s="1"/>
      <c r="E27" s="1" t="s">
        <v>104</v>
      </c>
      <c r="F27" s="1" t="s">
        <v>178</v>
      </c>
      <c r="G27" s="1" t="s">
        <v>179</v>
      </c>
      <c r="H27" s="1">
        <v>1</v>
      </c>
      <c r="I27" s="1">
        <v>0</v>
      </c>
      <c r="J27" s="1" t="s">
        <v>32</v>
      </c>
      <c r="K27" s="1" t="s">
        <v>20</v>
      </c>
      <c r="L27" s="1" t="s">
        <v>180</v>
      </c>
      <c r="M27" s="1" t="s">
        <v>181</v>
      </c>
      <c r="N27" s="13" t="s">
        <v>32</v>
      </c>
      <c r="O27" s="14" t="s">
        <v>32</v>
      </c>
      <c r="P27" s="14" t="s">
        <v>29</v>
      </c>
      <c r="Q27" s="14" t="s">
        <v>33</v>
      </c>
      <c r="R27" s="14" t="s">
        <v>403</v>
      </c>
      <c r="S27" s="15" t="s">
        <v>182</v>
      </c>
      <c r="T27" s="14" t="s">
        <v>32</v>
      </c>
      <c r="U27" s="1" t="s">
        <v>20</v>
      </c>
      <c r="V27" t="str">
        <f t="shared" si="0"/>
        <v>mismatch</v>
      </c>
      <c r="W27" s="1" t="s">
        <v>183</v>
      </c>
    </row>
    <row r="28" spans="1:23" ht="15.75" customHeight="1" thickBot="1" x14ac:dyDescent="0.3">
      <c r="A28" s="1">
        <v>57</v>
      </c>
      <c r="B28" s="1">
        <v>270</v>
      </c>
      <c r="C28" s="1" t="s">
        <v>61</v>
      </c>
      <c r="D28" s="1"/>
      <c r="E28" s="1" t="s">
        <v>61</v>
      </c>
      <c r="F28" s="1" t="s">
        <v>184</v>
      </c>
      <c r="G28" s="1" t="s">
        <v>185</v>
      </c>
      <c r="H28" s="1">
        <v>1</v>
      </c>
      <c r="I28" s="1">
        <v>0</v>
      </c>
      <c r="J28" s="1" t="s">
        <v>25</v>
      </c>
      <c r="K28" s="1" t="s">
        <v>20</v>
      </c>
      <c r="L28" s="1" t="s">
        <v>186</v>
      </c>
      <c r="M28" s="1" t="s">
        <v>187</v>
      </c>
      <c r="N28" s="13" t="s">
        <v>176</v>
      </c>
      <c r="O28" s="14" t="s">
        <v>176</v>
      </c>
      <c r="P28" s="14" t="s">
        <v>29</v>
      </c>
      <c r="Q28" s="14" t="s">
        <v>33</v>
      </c>
      <c r="R28" s="14" t="s">
        <v>400</v>
      </c>
      <c r="S28" s="15" t="s">
        <v>188</v>
      </c>
      <c r="T28" s="14" t="s">
        <v>176</v>
      </c>
      <c r="U28" s="1" t="s">
        <v>33</v>
      </c>
      <c r="V28" t="str">
        <f t="shared" si="0"/>
        <v>mismatch</v>
      </c>
      <c r="W28" s="1" t="s">
        <v>189</v>
      </c>
    </row>
    <row r="29" spans="1:23" ht="15.75" customHeight="1" thickBot="1" x14ac:dyDescent="0.3">
      <c r="A29" s="1">
        <v>58</v>
      </c>
      <c r="B29" s="1">
        <v>274</v>
      </c>
      <c r="C29" s="1" t="s">
        <v>16</v>
      </c>
      <c r="D29" s="1"/>
      <c r="E29" s="1" t="s">
        <v>16</v>
      </c>
      <c r="F29" s="1" t="s">
        <v>190</v>
      </c>
      <c r="G29" s="1" t="s">
        <v>191</v>
      </c>
      <c r="H29" s="1">
        <v>1</v>
      </c>
      <c r="I29" s="1">
        <v>0</v>
      </c>
      <c r="J29" s="1" t="s">
        <v>23</v>
      </c>
      <c r="K29" s="1" t="s">
        <v>33</v>
      </c>
      <c r="L29" s="1" t="s">
        <v>192</v>
      </c>
      <c r="M29" s="1" t="s">
        <v>193</v>
      </c>
      <c r="N29" s="13" t="s">
        <v>176</v>
      </c>
      <c r="O29" s="17"/>
      <c r="P29" s="14" t="s">
        <v>32</v>
      </c>
      <c r="Q29" s="14" t="s">
        <v>20</v>
      </c>
      <c r="R29" s="14" t="s">
        <v>401</v>
      </c>
      <c r="S29" s="15" t="s">
        <v>194</v>
      </c>
      <c r="T29" s="17"/>
      <c r="V29" t="str">
        <f t="shared" si="0"/>
        <v>mismatch</v>
      </c>
    </row>
    <row r="30" spans="1:23" ht="15.75" customHeight="1" thickBot="1" x14ac:dyDescent="0.3">
      <c r="A30" s="1">
        <v>59</v>
      </c>
      <c r="B30" s="1">
        <v>276</v>
      </c>
      <c r="C30" s="1" t="s">
        <v>68</v>
      </c>
      <c r="D30" s="1"/>
      <c r="E30" s="1" t="s">
        <v>68</v>
      </c>
      <c r="F30" s="1" t="s">
        <v>195</v>
      </c>
      <c r="G30" s="1" t="s">
        <v>196</v>
      </c>
      <c r="H30" s="1">
        <v>1</v>
      </c>
      <c r="I30" s="1">
        <v>0</v>
      </c>
      <c r="J30" s="1" t="s">
        <v>29</v>
      </c>
      <c r="K30" s="1" t="s">
        <v>20</v>
      </c>
      <c r="L30" s="1" t="s">
        <v>197</v>
      </c>
      <c r="M30" s="1" t="s">
        <v>198</v>
      </c>
      <c r="N30" s="13" t="s">
        <v>29</v>
      </c>
      <c r="O30" s="17"/>
      <c r="P30" s="14" t="s">
        <v>29</v>
      </c>
      <c r="Q30" s="14" t="s">
        <v>20</v>
      </c>
      <c r="R30" s="14" t="s">
        <v>402</v>
      </c>
      <c r="S30" s="15" t="s">
        <v>199</v>
      </c>
      <c r="T30" s="17"/>
      <c r="V30" t="str">
        <f t="shared" si="0"/>
        <v>logical_error</v>
      </c>
    </row>
    <row r="31" spans="1:23" ht="15.75" customHeight="1" thickBot="1" x14ac:dyDescent="0.3">
      <c r="A31" s="1">
        <v>60</v>
      </c>
      <c r="B31" s="1">
        <v>277</v>
      </c>
      <c r="C31" s="1" t="s">
        <v>26</v>
      </c>
      <c r="D31" s="1"/>
      <c r="E31" s="1" t="s">
        <v>26</v>
      </c>
      <c r="F31" s="1" t="s">
        <v>200</v>
      </c>
      <c r="G31" s="1" t="s">
        <v>201</v>
      </c>
      <c r="H31" s="1">
        <v>1</v>
      </c>
      <c r="I31" s="1">
        <v>0</v>
      </c>
      <c r="J31" s="1" t="s">
        <v>23</v>
      </c>
      <c r="K31" s="1" t="s">
        <v>33</v>
      </c>
      <c r="L31" s="1" t="s">
        <v>202</v>
      </c>
      <c r="M31" s="1" t="s">
        <v>203</v>
      </c>
      <c r="N31" s="13" t="s">
        <v>32</v>
      </c>
      <c r="O31" s="17"/>
      <c r="P31" s="14" t="s">
        <v>32</v>
      </c>
      <c r="Q31" s="14" t="s">
        <v>20</v>
      </c>
      <c r="R31" s="14" t="s">
        <v>411</v>
      </c>
      <c r="S31" s="15" t="s">
        <v>204</v>
      </c>
      <c r="T31" s="17"/>
      <c r="V31" t="str">
        <f t="shared" si="0"/>
        <v>assumption</v>
      </c>
    </row>
    <row r="32" spans="1:23" ht="15.75" customHeight="1" thickBot="1" x14ac:dyDescent="0.3">
      <c r="A32" s="1">
        <v>62</v>
      </c>
      <c r="B32" s="1">
        <v>294</v>
      </c>
      <c r="C32" s="1" t="s">
        <v>42</v>
      </c>
      <c r="D32" s="1"/>
      <c r="E32" s="1" t="s">
        <v>42</v>
      </c>
      <c r="F32" s="1" t="s">
        <v>205</v>
      </c>
      <c r="G32" s="1" t="s">
        <v>206</v>
      </c>
      <c r="H32" s="1">
        <v>1</v>
      </c>
      <c r="I32" s="1">
        <v>0</v>
      </c>
      <c r="J32" s="1" t="s">
        <v>29</v>
      </c>
      <c r="K32" s="1" t="s">
        <v>20</v>
      </c>
      <c r="L32" s="1" t="s">
        <v>207</v>
      </c>
      <c r="M32" s="1" t="s">
        <v>208</v>
      </c>
      <c r="N32" s="13" t="s">
        <v>19</v>
      </c>
      <c r="O32" s="17"/>
      <c r="P32" s="14" t="s">
        <v>29</v>
      </c>
      <c r="Q32" s="14" t="s">
        <v>33</v>
      </c>
      <c r="R32" s="17"/>
      <c r="S32" s="15" t="s">
        <v>209</v>
      </c>
      <c r="T32" s="17"/>
      <c r="V32" t="str">
        <f t="shared" si="0"/>
        <v>mismatch</v>
      </c>
    </row>
    <row r="33" spans="1:23" ht="15.75" customHeight="1" thickBot="1" x14ac:dyDescent="0.3">
      <c r="A33" s="1">
        <v>63</v>
      </c>
      <c r="B33" s="1">
        <v>294</v>
      </c>
      <c r="C33" s="1" t="s">
        <v>210</v>
      </c>
      <c r="D33" s="1"/>
      <c r="E33" s="1" t="s">
        <v>210</v>
      </c>
      <c r="F33" s="1" t="s">
        <v>211</v>
      </c>
      <c r="G33" s="1" t="s">
        <v>212</v>
      </c>
      <c r="H33" s="1">
        <v>1</v>
      </c>
      <c r="I33" s="1">
        <v>0</v>
      </c>
      <c r="J33" s="1" t="s">
        <v>32</v>
      </c>
      <c r="K33" s="1" t="s">
        <v>20</v>
      </c>
      <c r="L33" s="1" t="s">
        <v>213</v>
      </c>
      <c r="M33" s="1" t="s">
        <v>214</v>
      </c>
      <c r="N33" s="13" t="s">
        <v>19</v>
      </c>
      <c r="O33" s="14" t="s">
        <v>19</v>
      </c>
      <c r="P33" s="14" t="s">
        <v>19</v>
      </c>
      <c r="Q33" s="14" t="s">
        <v>20</v>
      </c>
      <c r="R33" s="14" t="s">
        <v>404</v>
      </c>
      <c r="S33" s="15" t="s">
        <v>215</v>
      </c>
      <c r="T33" s="14" t="s">
        <v>216</v>
      </c>
      <c r="U33" s="1" t="s">
        <v>33</v>
      </c>
      <c r="V33" t="str">
        <f t="shared" si="0"/>
        <v>extraction_error</v>
      </c>
      <c r="W33" s="1" t="s">
        <v>217</v>
      </c>
    </row>
    <row r="34" spans="1:23" ht="15.75" customHeight="1" thickBot="1" x14ac:dyDescent="0.3">
      <c r="A34" s="1">
        <v>64</v>
      </c>
      <c r="B34" s="1">
        <v>296</v>
      </c>
      <c r="C34" s="1" t="s">
        <v>104</v>
      </c>
      <c r="D34" s="1"/>
      <c r="E34" s="1" t="s">
        <v>104</v>
      </c>
      <c r="F34" s="1" t="s">
        <v>218</v>
      </c>
      <c r="G34" s="1" t="s">
        <v>219</v>
      </c>
      <c r="H34" s="1">
        <v>0</v>
      </c>
      <c r="I34" s="1">
        <v>1</v>
      </c>
      <c r="J34" s="1" t="s">
        <v>25</v>
      </c>
      <c r="K34" s="1" t="s">
        <v>20</v>
      </c>
      <c r="L34" s="1" t="s">
        <v>220</v>
      </c>
      <c r="M34" s="1" t="s">
        <v>221</v>
      </c>
      <c r="N34" s="13" t="s">
        <v>19</v>
      </c>
      <c r="O34" s="14" t="s">
        <v>19</v>
      </c>
      <c r="P34" s="14" t="s">
        <v>19</v>
      </c>
      <c r="Q34" s="14" t="s">
        <v>20</v>
      </c>
      <c r="R34" s="14" t="s">
        <v>405</v>
      </c>
      <c r="S34" s="15" t="s">
        <v>222</v>
      </c>
      <c r="T34" s="14" t="s">
        <v>19</v>
      </c>
      <c r="U34" s="1" t="s">
        <v>20</v>
      </c>
      <c r="V34" t="str">
        <f t="shared" si="0"/>
        <v>extraction_error</v>
      </c>
      <c r="W34" s="1" t="s">
        <v>223</v>
      </c>
    </row>
    <row r="35" spans="1:23" ht="15.75" customHeight="1" thickBot="1" x14ac:dyDescent="0.3">
      <c r="A35" s="1">
        <v>65</v>
      </c>
      <c r="B35" s="1">
        <v>296</v>
      </c>
      <c r="C35" s="1" t="s">
        <v>157</v>
      </c>
      <c r="D35" s="1"/>
      <c r="E35" s="1" t="s">
        <v>157</v>
      </c>
      <c r="F35" s="1" t="s">
        <v>224</v>
      </c>
      <c r="G35" s="1" t="s">
        <v>225</v>
      </c>
      <c r="H35" s="1">
        <v>0</v>
      </c>
      <c r="I35" s="1">
        <v>1</v>
      </c>
      <c r="J35" s="1" t="s">
        <v>25</v>
      </c>
      <c r="K35" s="1" t="s">
        <v>20</v>
      </c>
      <c r="L35" s="1" t="s">
        <v>226</v>
      </c>
      <c r="M35" s="1" t="s">
        <v>227</v>
      </c>
      <c r="N35" s="13" t="s">
        <v>19</v>
      </c>
      <c r="O35" s="14" t="s">
        <v>19</v>
      </c>
      <c r="P35" s="16" t="s">
        <v>19</v>
      </c>
      <c r="Q35" s="14" t="s">
        <v>20</v>
      </c>
      <c r="R35" s="14"/>
      <c r="S35" s="15" t="s">
        <v>228</v>
      </c>
      <c r="T35" s="14" t="s">
        <v>19</v>
      </c>
      <c r="U35" s="1" t="s">
        <v>33</v>
      </c>
      <c r="V35" t="str">
        <f t="shared" si="0"/>
        <v>extraction_error</v>
      </c>
      <c r="W35" s="1" t="s">
        <v>229</v>
      </c>
    </row>
    <row r="36" spans="1:23" ht="15.75" customHeight="1" thickBot="1" x14ac:dyDescent="0.3">
      <c r="A36" s="1">
        <v>67</v>
      </c>
      <c r="B36" s="1">
        <v>309</v>
      </c>
      <c r="C36" s="1" t="s">
        <v>170</v>
      </c>
      <c r="D36" s="1"/>
      <c r="E36" s="1" t="s">
        <v>170</v>
      </c>
      <c r="F36" s="1" t="s">
        <v>230</v>
      </c>
      <c r="G36" s="1" t="s">
        <v>231</v>
      </c>
      <c r="H36" s="1">
        <v>1</v>
      </c>
      <c r="I36" s="1">
        <v>0</v>
      </c>
      <c r="J36" s="1" t="s">
        <v>32</v>
      </c>
      <c r="K36" s="1" t="s">
        <v>20</v>
      </c>
      <c r="L36" s="1" t="s">
        <v>232</v>
      </c>
      <c r="M36" s="1" t="s">
        <v>233</v>
      </c>
      <c r="N36" s="13" t="s">
        <v>29</v>
      </c>
      <c r="O36" s="14" t="s">
        <v>29</v>
      </c>
      <c r="P36" s="14" t="s">
        <v>29</v>
      </c>
      <c r="Q36" s="14" t="s">
        <v>20</v>
      </c>
      <c r="R36" s="14"/>
      <c r="S36" s="15" t="s">
        <v>234</v>
      </c>
      <c r="T36" s="14" t="s">
        <v>29</v>
      </c>
      <c r="U36" s="1" t="s">
        <v>20</v>
      </c>
      <c r="V36" t="str">
        <f t="shared" si="0"/>
        <v>logical_error</v>
      </c>
      <c r="W36" s="1" t="s">
        <v>235</v>
      </c>
    </row>
    <row r="37" spans="1:23" ht="15.75" customHeight="1" thickBot="1" x14ac:dyDescent="0.3">
      <c r="A37" s="1">
        <v>69</v>
      </c>
      <c r="B37" s="1">
        <v>314</v>
      </c>
      <c r="C37" s="1" t="s">
        <v>111</v>
      </c>
      <c r="D37" s="1"/>
      <c r="E37" s="1" t="s">
        <v>111</v>
      </c>
      <c r="F37" s="1" t="s">
        <v>236</v>
      </c>
      <c r="G37" s="1" t="s">
        <v>237</v>
      </c>
      <c r="H37" s="1">
        <v>1</v>
      </c>
      <c r="I37" s="1">
        <v>0</v>
      </c>
      <c r="J37" s="1" t="s">
        <v>19</v>
      </c>
      <c r="K37" s="1" t="s">
        <v>20</v>
      </c>
      <c r="L37" s="1" t="s">
        <v>238</v>
      </c>
      <c r="M37" s="1" t="s">
        <v>239</v>
      </c>
      <c r="N37" s="13" t="s">
        <v>25</v>
      </c>
      <c r="O37" s="14" t="s">
        <v>25</v>
      </c>
      <c r="P37" s="14" t="s">
        <v>19</v>
      </c>
      <c r="Q37" s="14" t="s">
        <v>20</v>
      </c>
      <c r="R37" s="14" t="s">
        <v>406</v>
      </c>
      <c r="S37" s="15" t="s">
        <v>240</v>
      </c>
      <c r="T37" s="14" t="s">
        <v>25</v>
      </c>
      <c r="U37" s="1" t="s">
        <v>20</v>
      </c>
      <c r="V37" t="str">
        <f t="shared" si="0"/>
        <v>mismatch</v>
      </c>
      <c r="W37" s="1" t="s">
        <v>241</v>
      </c>
    </row>
    <row r="38" spans="1:23" ht="15.75" customHeight="1" thickBot="1" x14ac:dyDescent="0.3">
      <c r="A38" s="1">
        <v>71</v>
      </c>
      <c r="B38" s="1">
        <v>317</v>
      </c>
      <c r="C38" s="1" t="s">
        <v>61</v>
      </c>
      <c r="D38" s="1"/>
      <c r="E38" s="1" t="s">
        <v>61</v>
      </c>
      <c r="F38" s="1" t="s">
        <v>242</v>
      </c>
      <c r="G38" s="1" t="s">
        <v>243</v>
      </c>
      <c r="H38" s="1">
        <v>1</v>
      </c>
      <c r="I38" s="1">
        <v>0</v>
      </c>
      <c r="J38" s="1" t="s">
        <v>25</v>
      </c>
      <c r="K38" s="1" t="s">
        <v>20</v>
      </c>
      <c r="L38" s="1" t="s">
        <v>244</v>
      </c>
      <c r="M38" s="1" t="s">
        <v>245</v>
      </c>
      <c r="N38" s="13" t="s">
        <v>25</v>
      </c>
      <c r="O38" s="17"/>
      <c r="P38" s="14" t="s">
        <v>32</v>
      </c>
      <c r="Q38" s="14" t="s">
        <v>20</v>
      </c>
      <c r="R38" s="14" t="s">
        <v>407</v>
      </c>
      <c r="S38" s="15" t="s">
        <v>246</v>
      </c>
      <c r="T38" s="17"/>
      <c r="V38" t="str">
        <f t="shared" si="0"/>
        <v>mismatch</v>
      </c>
    </row>
    <row r="39" spans="1:23" ht="15.75" customHeight="1" thickBot="1" x14ac:dyDescent="0.3">
      <c r="A39" s="1">
        <v>73</v>
      </c>
      <c r="B39" s="1">
        <v>322</v>
      </c>
      <c r="C39" s="1" t="s">
        <v>247</v>
      </c>
      <c r="D39" s="1"/>
      <c r="E39" s="1" t="s">
        <v>247</v>
      </c>
      <c r="F39" s="1" t="s">
        <v>248</v>
      </c>
      <c r="G39" s="1" t="s">
        <v>249</v>
      </c>
      <c r="H39" s="1">
        <v>1</v>
      </c>
      <c r="I39" s="1">
        <v>0</v>
      </c>
      <c r="J39" s="1" t="s">
        <v>32</v>
      </c>
      <c r="K39" s="1" t="s">
        <v>33</v>
      </c>
      <c r="L39" s="1" t="s">
        <v>250</v>
      </c>
      <c r="M39" s="1" t="s">
        <v>251</v>
      </c>
      <c r="N39" s="13" t="s">
        <v>32</v>
      </c>
      <c r="O39" s="14" t="s">
        <v>32</v>
      </c>
      <c r="P39" s="14" t="s">
        <v>32</v>
      </c>
      <c r="Q39" s="14" t="s">
        <v>20</v>
      </c>
      <c r="R39" s="14"/>
      <c r="S39" s="15" t="s">
        <v>252</v>
      </c>
      <c r="T39" s="14" t="s">
        <v>253</v>
      </c>
      <c r="U39" s="1" t="s">
        <v>20</v>
      </c>
      <c r="V39" t="str">
        <f t="shared" si="0"/>
        <v>assumption</v>
      </c>
      <c r="W39" s="1" t="s">
        <v>254</v>
      </c>
    </row>
    <row r="40" spans="1:23" ht="15.75" customHeight="1" thickBot="1" x14ac:dyDescent="0.3">
      <c r="A40" s="1">
        <v>75</v>
      </c>
      <c r="B40" s="1">
        <v>323</v>
      </c>
      <c r="C40" s="1" t="s">
        <v>247</v>
      </c>
      <c r="D40" s="1"/>
      <c r="E40" s="1" t="s">
        <v>247</v>
      </c>
      <c r="F40" s="1" t="s">
        <v>255</v>
      </c>
      <c r="G40" s="1" t="s">
        <v>256</v>
      </c>
      <c r="H40" s="1">
        <v>1</v>
      </c>
      <c r="I40" s="1">
        <v>0</v>
      </c>
      <c r="J40" s="1" t="s">
        <v>32</v>
      </c>
      <c r="K40" s="1" t="s">
        <v>33</v>
      </c>
      <c r="L40" s="1" t="s">
        <v>257</v>
      </c>
      <c r="M40" s="1" t="s">
        <v>258</v>
      </c>
      <c r="N40" s="13" t="s">
        <v>32</v>
      </c>
      <c r="O40" s="14" t="s">
        <v>32</v>
      </c>
      <c r="P40" s="14" t="s">
        <v>32</v>
      </c>
      <c r="Q40" s="14" t="s">
        <v>20</v>
      </c>
      <c r="R40" s="14"/>
      <c r="S40" s="15" t="s">
        <v>259</v>
      </c>
      <c r="T40" s="14" t="s">
        <v>32</v>
      </c>
      <c r="U40" s="1" t="s">
        <v>20</v>
      </c>
      <c r="V40" t="str">
        <f t="shared" si="0"/>
        <v>assumption</v>
      </c>
      <c r="W40" s="1" t="s">
        <v>260</v>
      </c>
    </row>
    <row r="41" spans="1:23" ht="15.75" customHeight="1" thickBot="1" x14ac:dyDescent="0.3">
      <c r="A41" s="1">
        <v>77</v>
      </c>
      <c r="B41" s="1">
        <v>328</v>
      </c>
      <c r="C41" s="1" t="s">
        <v>210</v>
      </c>
      <c r="D41" s="1"/>
      <c r="E41" s="1" t="s">
        <v>210</v>
      </c>
      <c r="F41" s="1" t="s">
        <v>261</v>
      </c>
      <c r="G41" s="1" t="s">
        <v>262</v>
      </c>
      <c r="H41" s="1">
        <v>1</v>
      </c>
      <c r="I41" s="1">
        <v>0</v>
      </c>
      <c r="J41" s="1" t="s">
        <v>32</v>
      </c>
      <c r="K41" s="1" t="s">
        <v>33</v>
      </c>
      <c r="L41" s="1" t="s">
        <v>263</v>
      </c>
      <c r="M41" s="1" t="s">
        <v>264</v>
      </c>
      <c r="N41" s="13" t="s">
        <v>32</v>
      </c>
      <c r="O41" s="14" t="s">
        <v>19</v>
      </c>
      <c r="P41" s="14" t="s">
        <v>19</v>
      </c>
      <c r="Q41" s="14" t="s">
        <v>20</v>
      </c>
      <c r="R41" s="14" t="s">
        <v>408</v>
      </c>
      <c r="S41" s="15" t="s">
        <v>265</v>
      </c>
      <c r="T41" s="14" t="s">
        <v>253</v>
      </c>
      <c r="U41" s="1" t="s">
        <v>20</v>
      </c>
      <c r="V41" t="str">
        <f t="shared" si="0"/>
        <v>mismatch</v>
      </c>
      <c r="W41" s="1" t="s">
        <v>266</v>
      </c>
    </row>
    <row r="42" spans="1:23" ht="15.75" customHeight="1" thickBot="1" x14ac:dyDescent="0.3">
      <c r="A42" s="1">
        <v>78</v>
      </c>
      <c r="B42" s="1">
        <v>342</v>
      </c>
      <c r="C42" s="1" t="s">
        <v>104</v>
      </c>
      <c r="D42" s="1"/>
      <c r="E42" s="1" t="s">
        <v>104</v>
      </c>
      <c r="F42" s="1" t="s">
        <v>267</v>
      </c>
      <c r="G42" s="1" t="s">
        <v>268</v>
      </c>
      <c r="H42" s="1">
        <v>1</v>
      </c>
      <c r="I42" s="1">
        <v>0</v>
      </c>
      <c r="J42" s="1" t="s">
        <v>29</v>
      </c>
      <c r="K42" s="1" t="s">
        <v>20</v>
      </c>
      <c r="L42" s="1" t="s">
        <v>269</v>
      </c>
      <c r="M42" s="1" t="s">
        <v>270</v>
      </c>
      <c r="N42" s="13" t="s">
        <v>25</v>
      </c>
      <c r="O42" s="14" t="s">
        <v>25</v>
      </c>
      <c r="P42" s="14" t="s">
        <v>29</v>
      </c>
      <c r="Q42" s="14" t="s">
        <v>33</v>
      </c>
      <c r="R42" s="14" t="s">
        <v>412</v>
      </c>
      <c r="S42" s="15" t="s">
        <v>271</v>
      </c>
      <c r="T42" s="14" t="s">
        <v>25</v>
      </c>
      <c r="U42" s="1" t="s">
        <v>20</v>
      </c>
      <c r="V42" t="str">
        <f t="shared" si="0"/>
        <v>mismatch</v>
      </c>
      <c r="W42" s="1" t="s">
        <v>272</v>
      </c>
    </row>
    <row r="43" spans="1:23" ht="15.75" customHeight="1" thickBot="1" x14ac:dyDescent="0.3">
      <c r="A43" s="1">
        <v>81</v>
      </c>
      <c r="B43" s="1">
        <v>343</v>
      </c>
      <c r="C43" s="1" t="s">
        <v>42</v>
      </c>
      <c r="D43" s="1"/>
      <c r="E43" s="1" t="s">
        <v>42</v>
      </c>
      <c r="F43" s="1" t="s">
        <v>273</v>
      </c>
      <c r="G43" s="1" t="s">
        <v>274</v>
      </c>
      <c r="H43" s="1">
        <v>1</v>
      </c>
      <c r="I43" s="1">
        <v>0</v>
      </c>
      <c r="J43" s="1" t="s">
        <v>23</v>
      </c>
      <c r="K43" s="1" t="s">
        <v>20</v>
      </c>
      <c r="L43" s="1" t="s">
        <v>275</v>
      </c>
      <c r="M43" s="1" t="s">
        <v>276</v>
      </c>
      <c r="N43" s="13" t="s">
        <v>25</v>
      </c>
      <c r="O43" s="17"/>
      <c r="P43" s="14" t="s">
        <v>25</v>
      </c>
      <c r="Q43" s="14" t="s">
        <v>33</v>
      </c>
      <c r="R43" s="17"/>
      <c r="S43" s="15" t="s">
        <v>277</v>
      </c>
      <c r="T43" s="17"/>
      <c r="V43" t="str">
        <f t="shared" si="0"/>
        <v>complete</v>
      </c>
    </row>
    <row r="44" spans="1:23" ht="15.75" customHeight="1" thickBot="1" x14ac:dyDescent="0.3">
      <c r="A44" s="1">
        <v>84</v>
      </c>
      <c r="B44" s="1">
        <v>347</v>
      </c>
      <c r="C44" s="1" t="s">
        <v>16</v>
      </c>
      <c r="D44" s="1"/>
      <c r="E44" s="1" t="s">
        <v>16</v>
      </c>
      <c r="F44" s="1" t="s">
        <v>278</v>
      </c>
      <c r="G44" s="1" t="s">
        <v>279</v>
      </c>
      <c r="H44" s="1">
        <v>1</v>
      </c>
      <c r="I44" s="1">
        <v>0</v>
      </c>
      <c r="J44" s="1" t="s">
        <v>23</v>
      </c>
      <c r="K44" s="1" t="s">
        <v>33</v>
      </c>
      <c r="L44" s="1" t="s">
        <v>280</v>
      </c>
      <c r="M44" s="1" t="s">
        <v>281</v>
      </c>
      <c r="N44" s="13" t="s">
        <v>32</v>
      </c>
      <c r="O44" s="17"/>
      <c r="P44" s="14" t="s">
        <v>32</v>
      </c>
      <c r="Q44" s="14" t="s">
        <v>20</v>
      </c>
      <c r="R44" s="17"/>
      <c r="S44" s="15" t="s">
        <v>282</v>
      </c>
      <c r="T44" s="17"/>
      <c r="V44" t="str">
        <f t="shared" si="0"/>
        <v>assumption</v>
      </c>
    </row>
    <row r="45" spans="1:23" ht="15.75" customHeight="1" thickBot="1" x14ac:dyDescent="0.3">
      <c r="A45" s="1">
        <v>85</v>
      </c>
      <c r="B45" s="1">
        <v>348</v>
      </c>
      <c r="C45" s="1" t="s">
        <v>55</v>
      </c>
      <c r="D45" s="1"/>
      <c r="E45" s="1" t="s">
        <v>55</v>
      </c>
      <c r="F45" s="1" t="s">
        <v>283</v>
      </c>
      <c r="G45" s="1" t="s">
        <v>284</v>
      </c>
      <c r="H45" s="1">
        <v>1</v>
      </c>
      <c r="I45" s="1">
        <v>0</v>
      </c>
      <c r="J45" s="1" t="s">
        <v>29</v>
      </c>
      <c r="K45" s="1" t="s">
        <v>20</v>
      </c>
      <c r="L45" s="1" t="s">
        <v>285</v>
      </c>
      <c r="M45" s="1" t="s">
        <v>286</v>
      </c>
      <c r="N45" s="13" t="s">
        <v>32</v>
      </c>
      <c r="O45" s="14" t="s">
        <v>32</v>
      </c>
      <c r="P45" s="14" t="s">
        <v>32</v>
      </c>
      <c r="Q45" s="14" t="s">
        <v>33</v>
      </c>
      <c r="R45" s="14"/>
      <c r="S45" s="15" t="s">
        <v>287</v>
      </c>
      <c r="T45" s="14" t="s">
        <v>32</v>
      </c>
      <c r="U45" s="1" t="s">
        <v>33</v>
      </c>
      <c r="V45" t="str">
        <f t="shared" si="0"/>
        <v>assumption</v>
      </c>
      <c r="W45" s="1" t="s">
        <v>288</v>
      </c>
    </row>
    <row r="46" spans="1:23" ht="15.75" customHeight="1" thickBot="1" x14ac:dyDescent="0.3">
      <c r="A46" s="1">
        <v>94</v>
      </c>
      <c r="B46" s="1">
        <v>368</v>
      </c>
      <c r="C46" s="1" t="s">
        <v>61</v>
      </c>
      <c r="D46" s="1"/>
      <c r="E46" s="1" t="s">
        <v>61</v>
      </c>
      <c r="F46" s="1" t="s">
        <v>289</v>
      </c>
      <c r="G46" s="1" t="s">
        <v>290</v>
      </c>
      <c r="H46" s="1">
        <v>1</v>
      </c>
      <c r="I46" s="1">
        <v>0</v>
      </c>
      <c r="J46" s="1" t="s">
        <v>25</v>
      </c>
      <c r="K46" s="1" t="s">
        <v>20</v>
      </c>
      <c r="L46" s="1" t="s">
        <v>291</v>
      </c>
      <c r="M46" s="1" t="s">
        <v>292</v>
      </c>
      <c r="N46" s="13" t="s">
        <v>32</v>
      </c>
      <c r="O46" s="14" t="s">
        <v>32</v>
      </c>
      <c r="P46" s="14" t="s">
        <v>32</v>
      </c>
      <c r="Q46" s="14" t="s">
        <v>20</v>
      </c>
      <c r="R46" s="14"/>
      <c r="S46" s="15" t="s">
        <v>293</v>
      </c>
      <c r="T46" s="14" t="s">
        <v>32</v>
      </c>
      <c r="U46" s="1" t="s">
        <v>33</v>
      </c>
      <c r="V46" t="str">
        <f t="shared" si="0"/>
        <v>assumption</v>
      </c>
      <c r="W46" s="1" t="s">
        <v>294</v>
      </c>
    </row>
    <row r="47" spans="1:23" ht="15.75" customHeight="1" thickBot="1" x14ac:dyDescent="0.3">
      <c r="A47" s="1">
        <v>95</v>
      </c>
      <c r="B47" s="1">
        <v>368</v>
      </c>
      <c r="C47" s="1" t="s">
        <v>157</v>
      </c>
      <c r="D47" s="1"/>
      <c r="E47" s="1" t="s">
        <v>157</v>
      </c>
      <c r="F47" s="1" t="s">
        <v>295</v>
      </c>
      <c r="G47" s="1" t="s">
        <v>296</v>
      </c>
      <c r="H47" s="1">
        <v>0</v>
      </c>
      <c r="I47" s="1">
        <v>1</v>
      </c>
      <c r="J47" s="1" t="s">
        <v>25</v>
      </c>
      <c r="K47" s="1" t="s">
        <v>20</v>
      </c>
      <c r="L47" s="1" t="s">
        <v>297</v>
      </c>
      <c r="M47" s="1" t="s">
        <v>298</v>
      </c>
      <c r="N47" s="13" t="s">
        <v>19</v>
      </c>
      <c r="O47" s="14" t="s">
        <v>19</v>
      </c>
      <c r="P47" s="14" t="s">
        <v>391</v>
      </c>
      <c r="Q47" s="14" t="s">
        <v>20</v>
      </c>
      <c r="R47" s="14" t="s">
        <v>413</v>
      </c>
      <c r="S47" s="15" t="s">
        <v>299</v>
      </c>
      <c r="T47" s="14" t="s">
        <v>19</v>
      </c>
      <c r="U47" s="1" t="s">
        <v>33</v>
      </c>
      <c r="V47" t="str">
        <f t="shared" si="0"/>
        <v>mismatch</v>
      </c>
      <c r="W47" s="1" t="s">
        <v>300</v>
      </c>
    </row>
    <row r="48" spans="1:23" ht="15.75" customHeight="1" thickBot="1" x14ac:dyDescent="0.3">
      <c r="A48" s="1">
        <v>98</v>
      </c>
      <c r="B48" s="1">
        <v>373</v>
      </c>
      <c r="C48" s="1" t="s">
        <v>16</v>
      </c>
      <c r="D48" s="1"/>
      <c r="E48" s="1" t="s">
        <v>16</v>
      </c>
      <c r="F48" s="1" t="s">
        <v>301</v>
      </c>
      <c r="G48" s="1" t="s">
        <v>302</v>
      </c>
      <c r="H48" s="1">
        <v>1</v>
      </c>
      <c r="I48" s="1">
        <v>0</v>
      </c>
      <c r="J48" s="1" t="s">
        <v>23</v>
      </c>
      <c r="K48" s="1" t="s">
        <v>33</v>
      </c>
      <c r="L48" s="1" t="s">
        <v>303</v>
      </c>
      <c r="M48" s="1" t="s">
        <v>304</v>
      </c>
      <c r="N48" s="13" t="s">
        <v>32</v>
      </c>
      <c r="O48" s="17"/>
      <c r="P48" s="14" t="s">
        <v>32</v>
      </c>
      <c r="Q48" s="14" t="s">
        <v>20</v>
      </c>
      <c r="R48" s="14" t="s">
        <v>401</v>
      </c>
      <c r="S48" s="15" t="s">
        <v>305</v>
      </c>
      <c r="T48" s="17"/>
      <c r="V48" t="str">
        <f t="shared" si="0"/>
        <v>assumption</v>
      </c>
    </row>
    <row r="49" spans="1:23" ht="15.75" customHeight="1" thickBot="1" x14ac:dyDescent="0.3">
      <c r="A49" s="1">
        <v>99</v>
      </c>
      <c r="B49" s="1">
        <v>379</v>
      </c>
      <c r="C49" s="1" t="s">
        <v>170</v>
      </c>
      <c r="D49" s="1"/>
      <c r="E49" s="1" t="s">
        <v>170</v>
      </c>
      <c r="F49" s="1" t="s">
        <v>306</v>
      </c>
      <c r="G49" s="1" t="s">
        <v>307</v>
      </c>
      <c r="H49" s="1">
        <v>1</v>
      </c>
      <c r="I49" s="1">
        <v>0</v>
      </c>
      <c r="J49" s="1" t="s">
        <v>29</v>
      </c>
      <c r="K49" s="1" t="s">
        <v>20</v>
      </c>
      <c r="L49" s="1" t="s">
        <v>308</v>
      </c>
      <c r="M49" s="1" t="s">
        <v>309</v>
      </c>
      <c r="N49" s="13" t="s">
        <v>19</v>
      </c>
      <c r="O49" s="14" t="s">
        <v>19</v>
      </c>
      <c r="P49" s="14" t="s">
        <v>32</v>
      </c>
      <c r="Q49" s="14" t="s">
        <v>33</v>
      </c>
      <c r="R49" s="14"/>
      <c r="S49" s="15" t="s">
        <v>310</v>
      </c>
      <c r="T49" s="14" t="s">
        <v>19</v>
      </c>
      <c r="U49" s="1" t="s">
        <v>20</v>
      </c>
      <c r="V49" t="str">
        <f t="shared" si="0"/>
        <v>mismatch</v>
      </c>
      <c r="W49" s="1" t="s">
        <v>311</v>
      </c>
    </row>
    <row r="50" spans="1:23" ht="15.75" customHeight="1" thickBot="1" x14ac:dyDescent="0.3">
      <c r="A50" s="1">
        <v>100</v>
      </c>
      <c r="B50" s="1">
        <v>379</v>
      </c>
      <c r="C50" s="1" t="s">
        <v>16</v>
      </c>
      <c r="D50" s="1"/>
      <c r="E50" s="1" t="s">
        <v>16</v>
      </c>
      <c r="F50" s="1" t="s">
        <v>312</v>
      </c>
      <c r="G50" s="1" t="s">
        <v>313</v>
      </c>
      <c r="H50" s="1">
        <v>1</v>
      </c>
      <c r="I50" s="1">
        <v>0</v>
      </c>
      <c r="J50" s="1" t="s">
        <v>23</v>
      </c>
      <c r="K50" s="1" t="s">
        <v>33</v>
      </c>
      <c r="L50" s="1" t="s">
        <v>314</v>
      </c>
      <c r="M50" s="1" t="s">
        <v>315</v>
      </c>
      <c r="N50" s="13" t="s">
        <v>32</v>
      </c>
      <c r="O50" s="17"/>
      <c r="P50" s="14" t="s">
        <v>32</v>
      </c>
      <c r="Q50" s="14" t="s">
        <v>20</v>
      </c>
      <c r="R50" s="14" t="s">
        <v>401</v>
      </c>
      <c r="S50" s="15" t="s">
        <v>316</v>
      </c>
      <c r="T50" s="17"/>
      <c r="V50" t="str">
        <f t="shared" si="0"/>
        <v>assumption</v>
      </c>
    </row>
    <row r="51" spans="1:23" ht="15.75" customHeight="1" thickBot="1" x14ac:dyDescent="0.3">
      <c r="A51" s="1">
        <v>102</v>
      </c>
      <c r="B51" s="1">
        <v>384</v>
      </c>
      <c r="C51" s="1" t="s">
        <v>170</v>
      </c>
      <c r="D51" s="1"/>
      <c r="E51" s="1" t="s">
        <v>170</v>
      </c>
      <c r="F51" s="1" t="s">
        <v>317</v>
      </c>
      <c r="G51" s="1" t="s">
        <v>318</v>
      </c>
      <c r="H51" s="1">
        <v>1</v>
      </c>
      <c r="I51" s="1">
        <v>0</v>
      </c>
      <c r="J51" s="1" t="s">
        <v>32</v>
      </c>
      <c r="K51" s="1" t="s">
        <v>20</v>
      </c>
      <c r="L51" s="1" t="s">
        <v>319</v>
      </c>
      <c r="M51" s="1" t="s">
        <v>320</v>
      </c>
      <c r="N51" s="13" t="s">
        <v>25</v>
      </c>
      <c r="O51" s="14" t="s">
        <v>25</v>
      </c>
      <c r="P51" s="14" t="s">
        <v>25</v>
      </c>
      <c r="Q51" s="14" t="s">
        <v>20</v>
      </c>
      <c r="R51" s="14"/>
      <c r="S51" s="15" t="s">
        <v>321</v>
      </c>
      <c r="T51" s="14" t="s">
        <v>25</v>
      </c>
      <c r="U51" s="1" t="s">
        <v>20</v>
      </c>
      <c r="V51" t="str">
        <f t="shared" si="0"/>
        <v>complete</v>
      </c>
      <c r="W51" s="1" t="s">
        <v>322</v>
      </c>
    </row>
    <row r="52" spans="1:23" ht="15.75" customHeight="1" thickBot="1" x14ac:dyDescent="0.3">
      <c r="A52" s="1">
        <v>103</v>
      </c>
      <c r="B52" s="1">
        <v>386</v>
      </c>
      <c r="C52" s="1" t="s">
        <v>170</v>
      </c>
      <c r="D52" s="1"/>
      <c r="E52" s="1" t="s">
        <v>170</v>
      </c>
      <c r="F52" s="1" t="s">
        <v>323</v>
      </c>
      <c r="G52" s="1" t="s">
        <v>324</v>
      </c>
      <c r="H52" s="1">
        <v>1</v>
      </c>
      <c r="I52" s="1">
        <v>0</v>
      </c>
      <c r="J52" s="1" t="s">
        <v>32</v>
      </c>
      <c r="K52" s="1" t="s">
        <v>20</v>
      </c>
      <c r="L52" s="1" t="s">
        <v>325</v>
      </c>
      <c r="M52" s="1" t="s">
        <v>326</v>
      </c>
      <c r="N52" s="13" t="s">
        <v>25</v>
      </c>
      <c r="O52" s="14" t="s">
        <v>25</v>
      </c>
      <c r="P52" s="14" t="s">
        <v>25</v>
      </c>
      <c r="Q52" s="14" t="s">
        <v>20</v>
      </c>
      <c r="R52" s="14"/>
      <c r="S52" s="15" t="s">
        <v>327</v>
      </c>
      <c r="T52" s="14" t="s">
        <v>25</v>
      </c>
      <c r="U52" s="1" t="s">
        <v>20</v>
      </c>
      <c r="V52" t="str">
        <f t="shared" si="0"/>
        <v>complete</v>
      </c>
      <c r="W52" s="1" t="s">
        <v>322</v>
      </c>
    </row>
    <row r="53" spans="1:23" ht="15.75" customHeight="1" thickBot="1" x14ac:dyDescent="0.3">
      <c r="A53" s="1">
        <v>104</v>
      </c>
      <c r="B53" s="1">
        <v>394</v>
      </c>
      <c r="C53" s="1" t="s">
        <v>247</v>
      </c>
      <c r="D53" s="1"/>
      <c r="E53" s="1" t="s">
        <v>247</v>
      </c>
      <c r="F53" s="1" t="s">
        <v>328</v>
      </c>
      <c r="G53" s="1" t="s">
        <v>329</v>
      </c>
      <c r="H53" s="1">
        <v>1</v>
      </c>
      <c r="I53" s="1">
        <v>0</v>
      </c>
      <c r="J53" s="1" t="s">
        <v>25</v>
      </c>
      <c r="K53" s="1" t="s">
        <v>20</v>
      </c>
      <c r="L53" s="1" t="s">
        <v>330</v>
      </c>
      <c r="M53" s="1" t="s">
        <v>331</v>
      </c>
      <c r="N53" s="13" t="s">
        <v>29</v>
      </c>
      <c r="O53" s="14" t="s">
        <v>29</v>
      </c>
      <c r="P53" s="14" t="s">
        <v>29</v>
      </c>
      <c r="Q53" s="14" t="s">
        <v>20</v>
      </c>
      <c r="R53" s="14"/>
      <c r="S53" s="15" t="s">
        <v>332</v>
      </c>
      <c r="T53" s="14" t="s">
        <v>29</v>
      </c>
      <c r="U53" s="1" t="s">
        <v>20</v>
      </c>
      <c r="V53" t="str">
        <f t="shared" si="0"/>
        <v>logical_error</v>
      </c>
      <c r="W53" s="1" t="s">
        <v>333</v>
      </c>
    </row>
    <row r="54" spans="1:23" ht="15.75" customHeight="1" thickBot="1" x14ac:dyDescent="0.3">
      <c r="A54" s="1">
        <v>105</v>
      </c>
      <c r="B54" s="1">
        <v>396</v>
      </c>
      <c r="C54" s="1" t="s">
        <v>247</v>
      </c>
      <c r="D54" s="1"/>
      <c r="E54" s="1" t="s">
        <v>247</v>
      </c>
      <c r="F54" s="1" t="s">
        <v>334</v>
      </c>
      <c r="G54" s="1" t="s">
        <v>335</v>
      </c>
      <c r="H54" s="1">
        <v>1</v>
      </c>
      <c r="I54" s="1">
        <v>0</v>
      </c>
      <c r="J54" s="1" t="s">
        <v>25</v>
      </c>
      <c r="K54" s="1" t="s">
        <v>20</v>
      </c>
      <c r="L54" s="1" t="s">
        <v>336</v>
      </c>
      <c r="M54" s="1" t="s">
        <v>337</v>
      </c>
      <c r="N54" s="13" t="s">
        <v>29</v>
      </c>
      <c r="O54" s="14" t="s">
        <v>29</v>
      </c>
      <c r="P54" s="14" t="s">
        <v>29</v>
      </c>
      <c r="Q54" s="14" t="s">
        <v>33</v>
      </c>
      <c r="R54" s="14" t="s">
        <v>414</v>
      </c>
      <c r="S54" s="15" t="s">
        <v>338</v>
      </c>
      <c r="T54" s="14" t="s">
        <v>339</v>
      </c>
      <c r="U54" s="1" t="s">
        <v>20</v>
      </c>
      <c r="V54" t="str">
        <f t="shared" si="0"/>
        <v>logical_error</v>
      </c>
      <c r="W54" s="1" t="s">
        <v>340</v>
      </c>
    </row>
    <row r="55" spans="1:23" ht="15.75" customHeight="1" thickBot="1" x14ac:dyDescent="0.3">
      <c r="A55" s="1">
        <v>108</v>
      </c>
      <c r="B55" s="1">
        <v>399</v>
      </c>
      <c r="C55" s="1" t="s">
        <v>61</v>
      </c>
      <c r="D55" s="1"/>
      <c r="E55" s="1" t="s">
        <v>61</v>
      </c>
      <c r="F55" s="1" t="s">
        <v>341</v>
      </c>
      <c r="G55" s="1" t="s">
        <v>342</v>
      </c>
      <c r="H55" s="1">
        <v>1</v>
      </c>
      <c r="I55" s="1">
        <v>0</v>
      </c>
      <c r="J55" s="1" t="s">
        <v>25</v>
      </c>
      <c r="K55" s="1" t="s">
        <v>20</v>
      </c>
      <c r="L55" s="1" t="s">
        <v>343</v>
      </c>
      <c r="M55" s="1" t="s">
        <v>344</v>
      </c>
      <c r="N55" s="13" t="s">
        <v>32</v>
      </c>
      <c r="O55" s="14" t="s">
        <v>32</v>
      </c>
      <c r="P55" s="14" t="s">
        <v>32</v>
      </c>
      <c r="Q55" s="14" t="s">
        <v>20</v>
      </c>
      <c r="R55" s="14" t="s">
        <v>407</v>
      </c>
      <c r="S55" s="15" t="s">
        <v>345</v>
      </c>
      <c r="T55" s="14" t="s">
        <v>32</v>
      </c>
      <c r="U55" s="1" t="s">
        <v>20</v>
      </c>
      <c r="V55" t="str">
        <f t="shared" si="0"/>
        <v>assumption</v>
      </c>
      <c r="W55" s="1" t="s">
        <v>294</v>
      </c>
    </row>
    <row r="56" spans="1:23" ht="15.75" customHeight="1" thickBot="1" x14ac:dyDescent="0.3">
      <c r="N56" s="11"/>
    </row>
    <row r="57" spans="1:23" ht="15.75" customHeight="1" thickBot="1" x14ac:dyDescent="0.3">
      <c r="N57" s="11"/>
    </row>
    <row r="58" spans="1:23" ht="15.75" customHeight="1" thickBot="1" x14ac:dyDescent="0.3">
      <c r="N58" s="11"/>
    </row>
    <row r="59" spans="1:23" ht="15.75" customHeight="1" thickBot="1" x14ac:dyDescent="0.3">
      <c r="N59" s="11"/>
    </row>
    <row r="60" spans="1:23" ht="15.75" customHeight="1" thickBot="1" x14ac:dyDescent="0.3">
      <c r="N60" s="11"/>
    </row>
    <row r="61" spans="1:23" ht="15.75" customHeight="1" thickBot="1" x14ac:dyDescent="0.3">
      <c r="N61" s="11"/>
    </row>
    <row r="62" spans="1:23" ht="13" thickBot="1" x14ac:dyDescent="0.3">
      <c r="B62" s="1"/>
      <c r="N62" s="11"/>
    </row>
    <row r="63" spans="1:23" ht="13" thickBot="1" x14ac:dyDescent="0.3">
      <c r="B63" s="1"/>
      <c r="N63" s="11"/>
    </row>
    <row r="64" spans="1:23" ht="13" thickBot="1" x14ac:dyDescent="0.3">
      <c r="B64" s="1"/>
      <c r="N64" s="11"/>
    </row>
    <row r="65" spans="2:14" ht="13" thickBot="1" x14ac:dyDescent="0.3">
      <c r="B65" s="1"/>
      <c r="N65" s="11"/>
    </row>
    <row r="66" spans="2:14" ht="13" thickBot="1" x14ac:dyDescent="0.3">
      <c r="B66" s="1"/>
      <c r="N66" s="11"/>
    </row>
    <row r="67" spans="2:14" ht="15.75" customHeight="1" thickBot="1" x14ac:dyDescent="0.3">
      <c r="N67" s="11"/>
    </row>
    <row r="68" spans="2:14" ht="15.75" customHeight="1" thickBot="1" x14ac:dyDescent="0.3">
      <c r="N68" s="11"/>
    </row>
    <row r="69" spans="2:14" ht="15.75" customHeight="1" thickBot="1" x14ac:dyDescent="0.3">
      <c r="N69" s="11"/>
    </row>
    <row r="70" spans="2:14" ht="15.75" customHeight="1" thickBot="1" x14ac:dyDescent="0.3">
      <c r="N70" s="11"/>
    </row>
    <row r="71" spans="2:14" ht="15.75" customHeight="1" thickBot="1" x14ac:dyDescent="0.3">
      <c r="N71" s="11"/>
    </row>
    <row r="72" spans="2:14" ht="15.75" customHeight="1" thickBot="1" x14ac:dyDescent="0.3">
      <c r="N72" s="11"/>
    </row>
    <row r="73" spans="2:14" ht="15.75" customHeight="1" thickBot="1" x14ac:dyDescent="0.3">
      <c r="N73" s="11"/>
    </row>
    <row r="74" spans="2:14" ht="15.75" customHeight="1" thickBot="1" x14ac:dyDescent="0.3">
      <c r="N74" s="11"/>
    </row>
    <row r="75" spans="2:14" ht="15.75" customHeight="1" thickBot="1" x14ac:dyDescent="0.3">
      <c r="N75" s="11"/>
    </row>
    <row r="76" spans="2:14" ht="15.75" customHeight="1" thickBot="1" x14ac:dyDescent="0.3">
      <c r="N76" s="11"/>
    </row>
    <row r="77" spans="2:14" ht="15.75" customHeight="1" thickBot="1" x14ac:dyDescent="0.3">
      <c r="N77" s="11"/>
    </row>
    <row r="78" spans="2:14" ht="15.75" customHeight="1" thickBot="1" x14ac:dyDescent="0.3">
      <c r="N78" s="11"/>
    </row>
    <row r="79" spans="2:14" ht="15.75" customHeight="1" thickBot="1" x14ac:dyDescent="0.3">
      <c r="N79" s="11"/>
    </row>
    <row r="80" spans="2:14" ht="15.75" customHeight="1" thickBot="1" x14ac:dyDescent="0.3">
      <c r="N80" s="11"/>
    </row>
    <row r="81" spans="14:14" ht="15.75" customHeight="1" thickBot="1" x14ac:dyDescent="0.3">
      <c r="N81" s="11"/>
    </row>
    <row r="82" spans="14:14" ht="15.75" customHeight="1" thickBot="1" x14ac:dyDescent="0.3">
      <c r="N82" s="11"/>
    </row>
    <row r="83" spans="14:14" ht="15.75" customHeight="1" thickBot="1" x14ac:dyDescent="0.3">
      <c r="N83" s="11"/>
    </row>
    <row r="84" spans="14:14" ht="15.75" customHeight="1" thickBot="1" x14ac:dyDescent="0.3">
      <c r="N84" s="11"/>
    </row>
    <row r="85" spans="14:14" ht="15.75" customHeight="1" thickBot="1" x14ac:dyDescent="0.3">
      <c r="N85" s="11"/>
    </row>
    <row r="86" spans="14:14" ht="15.75" customHeight="1" thickBot="1" x14ac:dyDescent="0.3">
      <c r="N86" s="11"/>
    </row>
    <row r="87" spans="14:14" ht="15.75" customHeight="1" thickBot="1" x14ac:dyDescent="0.3">
      <c r="N87" s="11"/>
    </row>
    <row r="88" spans="14:14" ht="15.75" customHeight="1" thickBot="1" x14ac:dyDescent="0.3">
      <c r="N88" s="11"/>
    </row>
    <row r="89" spans="14:14" ht="15.75" customHeight="1" thickBot="1" x14ac:dyDescent="0.3">
      <c r="N89" s="11"/>
    </row>
    <row r="90" spans="14:14" ht="15.75" customHeight="1" thickBot="1" x14ac:dyDescent="0.3">
      <c r="N90" s="11"/>
    </row>
    <row r="91" spans="14:14" ht="15.75" customHeight="1" thickBot="1" x14ac:dyDescent="0.3">
      <c r="N91" s="11"/>
    </row>
    <row r="92" spans="14:14" ht="15.75" customHeight="1" thickBot="1" x14ac:dyDescent="0.3">
      <c r="N92" s="11"/>
    </row>
    <row r="93" spans="14:14" ht="15.75" customHeight="1" thickBot="1" x14ac:dyDescent="0.3">
      <c r="N93" s="11"/>
    </row>
    <row r="94" spans="14:14" ht="15.75" customHeight="1" thickBot="1" x14ac:dyDescent="0.3">
      <c r="N94" s="11"/>
    </row>
    <row r="95" spans="14:14" ht="15.75" customHeight="1" thickBot="1" x14ac:dyDescent="0.3">
      <c r="N95" s="11"/>
    </row>
    <row r="96" spans="14:14" ht="15.75" customHeight="1" thickBot="1" x14ac:dyDescent="0.3">
      <c r="N96" s="11"/>
    </row>
    <row r="97" spans="14:14" ht="15.75" customHeight="1" thickBot="1" x14ac:dyDescent="0.3">
      <c r="N97" s="11"/>
    </row>
    <row r="98" spans="14:14" ht="15.75" customHeight="1" thickBot="1" x14ac:dyDescent="0.3">
      <c r="N98" s="11"/>
    </row>
    <row r="99" spans="14:14" ht="15.75" customHeight="1" thickBot="1" x14ac:dyDescent="0.3">
      <c r="N99" s="11"/>
    </row>
    <row r="100" spans="14:14" ht="15.75" customHeight="1" thickBot="1" x14ac:dyDescent="0.3">
      <c r="N100" s="11"/>
    </row>
    <row r="101" spans="14:14" ht="15.75" customHeight="1" thickBot="1" x14ac:dyDescent="0.3">
      <c r="N101" s="11"/>
    </row>
    <row r="102" spans="14:14" ht="15.75" customHeight="1" thickBot="1" x14ac:dyDescent="0.3">
      <c r="N102" s="11"/>
    </row>
    <row r="103" spans="14:14" ht="15.75" customHeight="1" thickBot="1" x14ac:dyDescent="0.3">
      <c r="N103" s="11"/>
    </row>
    <row r="104" spans="14:14" ht="15.75" customHeight="1" thickBot="1" x14ac:dyDescent="0.3">
      <c r="N104" s="11"/>
    </row>
    <row r="105" spans="14:14" ht="15.75" customHeight="1" thickBot="1" x14ac:dyDescent="0.3">
      <c r="N105" s="11"/>
    </row>
    <row r="106" spans="14:14" ht="15.75" customHeight="1" thickBot="1" x14ac:dyDescent="0.3">
      <c r="N106" s="11"/>
    </row>
    <row r="107" spans="14:14" ht="15.75" customHeight="1" thickBot="1" x14ac:dyDescent="0.3">
      <c r="N107" s="11"/>
    </row>
    <row r="108" spans="14:14" ht="15.75" customHeight="1" thickBot="1" x14ac:dyDescent="0.3">
      <c r="N108" s="11"/>
    </row>
    <row r="109" spans="14:14" ht="15.75" customHeight="1" thickBot="1" x14ac:dyDescent="0.3">
      <c r="N109" s="11"/>
    </row>
    <row r="110" spans="14:14" ht="15.75" customHeight="1" thickBot="1" x14ac:dyDescent="0.3">
      <c r="N110" s="11"/>
    </row>
    <row r="111" spans="14:14" ht="15.75" customHeight="1" thickBot="1" x14ac:dyDescent="0.3">
      <c r="N111" s="11"/>
    </row>
    <row r="112" spans="14:14" ht="15.75" customHeight="1" thickBot="1" x14ac:dyDescent="0.3">
      <c r="N112" s="11"/>
    </row>
    <row r="113" spans="14:14" ht="15.75" customHeight="1" thickBot="1" x14ac:dyDescent="0.3">
      <c r="N113" s="11"/>
    </row>
    <row r="114" spans="14:14" ht="15.75" customHeight="1" thickBot="1" x14ac:dyDescent="0.3">
      <c r="N114" s="11"/>
    </row>
    <row r="115" spans="14:14" ht="15.75" customHeight="1" thickBot="1" x14ac:dyDescent="0.3">
      <c r="N115" s="11"/>
    </row>
    <row r="116" spans="14:14" ht="15.75" customHeight="1" thickBot="1" x14ac:dyDescent="0.3">
      <c r="N116" s="11"/>
    </row>
    <row r="117" spans="14:14" ht="15.75" customHeight="1" thickBot="1" x14ac:dyDescent="0.3">
      <c r="N117" s="11"/>
    </row>
    <row r="118" spans="14:14" ht="15.75" customHeight="1" thickBot="1" x14ac:dyDescent="0.3">
      <c r="N118" s="11"/>
    </row>
    <row r="119" spans="14:14" ht="15.75" customHeight="1" thickBot="1" x14ac:dyDescent="0.3">
      <c r="N119" s="11"/>
    </row>
    <row r="120" spans="14:14" ht="15.75" customHeight="1" thickBot="1" x14ac:dyDescent="0.3">
      <c r="N120" s="11"/>
    </row>
    <row r="121" spans="14:14" ht="15.75" customHeight="1" thickBot="1" x14ac:dyDescent="0.3">
      <c r="N121" s="11"/>
    </row>
    <row r="122" spans="14:14" ht="15.75" customHeight="1" thickBot="1" x14ac:dyDescent="0.3">
      <c r="N122" s="11"/>
    </row>
    <row r="123" spans="14:14" ht="15.75" customHeight="1" thickBot="1" x14ac:dyDescent="0.3">
      <c r="N123" s="11"/>
    </row>
    <row r="124" spans="14:14" ht="15.75" customHeight="1" thickBot="1" x14ac:dyDescent="0.3">
      <c r="N124" s="11"/>
    </row>
    <row r="125" spans="14:14" ht="15.75" customHeight="1" thickBot="1" x14ac:dyDescent="0.3">
      <c r="N125" s="11"/>
    </row>
    <row r="126" spans="14:14" ht="15.75" customHeight="1" thickBot="1" x14ac:dyDescent="0.3">
      <c r="N126" s="11"/>
    </row>
    <row r="127" spans="14:14" ht="15.75" customHeight="1" thickBot="1" x14ac:dyDescent="0.3">
      <c r="N127" s="11"/>
    </row>
    <row r="128" spans="14:14" ht="15.75" customHeight="1" thickBot="1" x14ac:dyDescent="0.3">
      <c r="N128" s="11"/>
    </row>
    <row r="129" spans="14:14" ht="15.75" customHeight="1" thickBot="1" x14ac:dyDescent="0.3">
      <c r="N129" s="11"/>
    </row>
    <row r="130" spans="14:14" ht="15.75" customHeight="1" thickBot="1" x14ac:dyDescent="0.3">
      <c r="N130" s="11"/>
    </row>
    <row r="131" spans="14:14" ht="15.75" customHeight="1" thickBot="1" x14ac:dyDescent="0.3">
      <c r="N131" s="11"/>
    </row>
    <row r="132" spans="14:14" ht="15.75" customHeight="1" thickBot="1" x14ac:dyDescent="0.3">
      <c r="N132" s="11"/>
    </row>
    <row r="133" spans="14:14" ht="15.75" customHeight="1" thickBot="1" x14ac:dyDescent="0.3">
      <c r="N133" s="11"/>
    </row>
    <row r="134" spans="14:14" ht="15.75" customHeight="1" thickBot="1" x14ac:dyDescent="0.3">
      <c r="N134" s="11"/>
    </row>
    <row r="135" spans="14:14" ht="15.75" customHeight="1" thickBot="1" x14ac:dyDescent="0.3">
      <c r="N135" s="11"/>
    </row>
    <row r="136" spans="14:14" ht="15.75" customHeight="1" thickBot="1" x14ac:dyDescent="0.3">
      <c r="N136" s="11"/>
    </row>
    <row r="137" spans="14:14" ht="15.75" customHeight="1" thickBot="1" x14ac:dyDescent="0.3">
      <c r="N137" s="11"/>
    </row>
    <row r="138" spans="14:14" ht="15.75" customHeight="1" thickBot="1" x14ac:dyDescent="0.3">
      <c r="N138" s="11"/>
    </row>
    <row r="139" spans="14:14" ht="15.75" customHeight="1" thickBot="1" x14ac:dyDescent="0.3">
      <c r="N139" s="11"/>
    </row>
    <row r="140" spans="14:14" ht="15.75" customHeight="1" thickBot="1" x14ac:dyDescent="0.3">
      <c r="N140" s="11"/>
    </row>
    <row r="141" spans="14:14" ht="15.75" customHeight="1" thickBot="1" x14ac:dyDescent="0.3">
      <c r="N141" s="11"/>
    </row>
    <row r="142" spans="14:14" ht="15.75" customHeight="1" thickBot="1" x14ac:dyDescent="0.3">
      <c r="N142" s="11"/>
    </row>
    <row r="143" spans="14:14" ht="15.75" customHeight="1" thickBot="1" x14ac:dyDescent="0.3">
      <c r="N143" s="11"/>
    </row>
    <row r="144" spans="14:14" ht="15.75" customHeight="1" thickBot="1" x14ac:dyDescent="0.3">
      <c r="N144" s="11"/>
    </row>
    <row r="145" spans="14:14" ht="15.75" customHeight="1" thickBot="1" x14ac:dyDescent="0.3">
      <c r="N145" s="11"/>
    </row>
    <row r="146" spans="14:14" ht="15.75" customHeight="1" thickBot="1" x14ac:dyDescent="0.3">
      <c r="N146" s="11"/>
    </row>
    <row r="147" spans="14:14" ht="15.75" customHeight="1" thickBot="1" x14ac:dyDescent="0.3">
      <c r="N147" s="11"/>
    </row>
    <row r="148" spans="14:14" ht="15.75" customHeight="1" thickBot="1" x14ac:dyDescent="0.3">
      <c r="N148" s="11"/>
    </row>
    <row r="149" spans="14:14" ht="15.75" customHeight="1" thickBot="1" x14ac:dyDescent="0.3">
      <c r="N149" s="11"/>
    </row>
    <row r="150" spans="14:14" ht="15.75" customHeight="1" thickBot="1" x14ac:dyDescent="0.3">
      <c r="N150" s="11"/>
    </row>
    <row r="151" spans="14:14" ht="15.75" customHeight="1" thickBot="1" x14ac:dyDescent="0.3">
      <c r="N151" s="11"/>
    </row>
    <row r="152" spans="14:14" ht="15.75" customHeight="1" thickBot="1" x14ac:dyDescent="0.3">
      <c r="N152" s="11"/>
    </row>
    <row r="153" spans="14:14" ht="15.75" customHeight="1" thickBot="1" x14ac:dyDescent="0.3">
      <c r="N153" s="11"/>
    </row>
    <row r="154" spans="14:14" ht="15.75" customHeight="1" thickBot="1" x14ac:dyDescent="0.3">
      <c r="N154" s="11"/>
    </row>
    <row r="155" spans="14:14" ht="15.75" customHeight="1" thickBot="1" x14ac:dyDescent="0.3">
      <c r="N155" s="11"/>
    </row>
    <row r="156" spans="14:14" ht="15.75" customHeight="1" thickBot="1" x14ac:dyDescent="0.3">
      <c r="N156" s="11"/>
    </row>
    <row r="157" spans="14:14" ht="15.75" customHeight="1" thickBot="1" x14ac:dyDescent="0.3">
      <c r="N157" s="11"/>
    </row>
    <row r="158" spans="14:14" ht="15.75" customHeight="1" thickBot="1" x14ac:dyDescent="0.3">
      <c r="N158" s="11"/>
    </row>
    <row r="159" spans="14:14" ht="15.75" customHeight="1" thickBot="1" x14ac:dyDescent="0.3">
      <c r="N159" s="11"/>
    </row>
    <row r="160" spans="14:14" ht="15.75" customHeight="1" thickBot="1" x14ac:dyDescent="0.3">
      <c r="N160" s="11"/>
    </row>
    <row r="161" spans="14:14" ht="15.75" customHeight="1" thickBot="1" x14ac:dyDescent="0.3">
      <c r="N161" s="11"/>
    </row>
    <row r="162" spans="14:14" ht="15.75" customHeight="1" thickBot="1" x14ac:dyDescent="0.3">
      <c r="N162" s="11"/>
    </row>
    <row r="163" spans="14:14" ht="15.75" customHeight="1" thickBot="1" x14ac:dyDescent="0.3">
      <c r="N163" s="11"/>
    </row>
    <row r="164" spans="14:14" ht="15.75" customHeight="1" thickBot="1" x14ac:dyDescent="0.3">
      <c r="N164" s="11"/>
    </row>
    <row r="165" spans="14:14" ht="15.75" customHeight="1" thickBot="1" x14ac:dyDescent="0.3">
      <c r="N165" s="11"/>
    </row>
    <row r="166" spans="14:14" ht="15.75" customHeight="1" thickBot="1" x14ac:dyDescent="0.3">
      <c r="N166" s="11"/>
    </row>
    <row r="167" spans="14:14" ht="15.75" customHeight="1" thickBot="1" x14ac:dyDescent="0.3">
      <c r="N167" s="11"/>
    </row>
    <row r="168" spans="14:14" ht="15.75" customHeight="1" thickBot="1" x14ac:dyDescent="0.3">
      <c r="N168" s="11"/>
    </row>
    <row r="169" spans="14:14" ht="15.75" customHeight="1" thickBot="1" x14ac:dyDescent="0.3">
      <c r="N169" s="11"/>
    </row>
    <row r="170" spans="14:14" ht="15.75" customHeight="1" thickBot="1" x14ac:dyDescent="0.3">
      <c r="N170" s="11"/>
    </row>
    <row r="171" spans="14:14" ht="15.75" customHeight="1" thickBot="1" x14ac:dyDescent="0.3">
      <c r="N171" s="11"/>
    </row>
    <row r="172" spans="14:14" ht="15.75" customHeight="1" thickBot="1" x14ac:dyDescent="0.3">
      <c r="N172" s="11"/>
    </row>
    <row r="173" spans="14:14" ht="15.75" customHeight="1" thickBot="1" x14ac:dyDescent="0.3">
      <c r="N173" s="11"/>
    </row>
    <row r="174" spans="14:14" ht="15.75" customHeight="1" thickBot="1" x14ac:dyDescent="0.3">
      <c r="N174" s="11"/>
    </row>
    <row r="175" spans="14:14" ht="15.75" customHeight="1" thickBot="1" x14ac:dyDescent="0.3">
      <c r="N175" s="11"/>
    </row>
    <row r="176" spans="14:14" ht="15.75" customHeight="1" thickBot="1" x14ac:dyDescent="0.3">
      <c r="N176" s="11"/>
    </row>
    <row r="177" spans="14:14" ht="15.75" customHeight="1" thickBot="1" x14ac:dyDescent="0.3">
      <c r="N177" s="11"/>
    </row>
    <row r="178" spans="14:14" ht="15.75" customHeight="1" thickBot="1" x14ac:dyDescent="0.3">
      <c r="N178" s="11"/>
    </row>
    <row r="179" spans="14:14" ht="15.75" customHeight="1" thickBot="1" x14ac:dyDescent="0.3">
      <c r="N179" s="11"/>
    </row>
    <row r="180" spans="14:14" ht="15.75" customHeight="1" thickBot="1" x14ac:dyDescent="0.3">
      <c r="N180" s="11"/>
    </row>
    <row r="181" spans="14:14" ht="15.75" customHeight="1" thickBot="1" x14ac:dyDescent="0.3">
      <c r="N181" s="11"/>
    </row>
    <row r="182" spans="14:14" ht="15.75" customHeight="1" thickBot="1" x14ac:dyDescent="0.3">
      <c r="N182" s="11"/>
    </row>
    <row r="183" spans="14:14" ht="15.75" customHeight="1" thickBot="1" x14ac:dyDescent="0.3">
      <c r="N183" s="11"/>
    </row>
    <row r="184" spans="14:14" ht="15.75" customHeight="1" thickBot="1" x14ac:dyDescent="0.3">
      <c r="N184" s="11"/>
    </row>
    <row r="185" spans="14:14" ht="15.75" customHeight="1" thickBot="1" x14ac:dyDescent="0.3">
      <c r="N185" s="11"/>
    </row>
    <row r="186" spans="14:14" ht="15.75" customHeight="1" thickBot="1" x14ac:dyDescent="0.3">
      <c r="N186" s="11"/>
    </row>
    <row r="187" spans="14:14" ht="15.75" customHeight="1" thickBot="1" x14ac:dyDescent="0.3">
      <c r="N187" s="11"/>
    </row>
    <row r="188" spans="14:14" ht="15.75" customHeight="1" thickBot="1" x14ac:dyDescent="0.3">
      <c r="N188" s="11"/>
    </row>
    <row r="189" spans="14:14" ht="15.75" customHeight="1" thickBot="1" x14ac:dyDescent="0.3">
      <c r="N189" s="11"/>
    </row>
    <row r="190" spans="14:14" ht="15.75" customHeight="1" thickBot="1" x14ac:dyDescent="0.3">
      <c r="N190" s="11"/>
    </row>
    <row r="191" spans="14:14" ht="15.75" customHeight="1" thickBot="1" x14ac:dyDescent="0.3">
      <c r="N191" s="11"/>
    </row>
    <row r="192" spans="14:14" ht="15.75" customHeight="1" thickBot="1" x14ac:dyDescent="0.3">
      <c r="N192" s="11"/>
    </row>
    <row r="193" spans="14:14" ht="15.75" customHeight="1" thickBot="1" x14ac:dyDescent="0.3">
      <c r="N193" s="11"/>
    </row>
    <row r="194" spans="14:14" ht="15.75" customHeight="1" thickBot="1" x14ac:dyDescent="0.3">
      <c r="N194" s="11"/>
    </row>
    <row r="195" spans="14:14" ht="15.75" customHeight="1" thickBot="1" x14ac:dyDescent="0.3">
      <c r="N195" s="11"/>
    </row>
    <row r="196" spans="14:14" ht="15.75" customHeight="1" thickBot="1" x14ac:dyDescent="0.3">
      <c r="N196" s="11"/>
    </row>
    <row r="197" spans="14:14" ht="15.75" customHeight="1" thickBot="1" x14ac:dyDescent="0.3">
      <c r="N197" s="11"/>
    </row>
    <row r="198" spans="14:14" ht="15.75" customHeight="1" thickBot="1" x14ac:dyDescent="0.3">
      <c r="N198" s="11"/>
    </row>
    <row r="199" spans="14:14" ht="15.75" customHeight="1" thickBot="1" x14ac:dyDescent="0.3">
      <c r="N199" s="11"/>
    </row>
    <row r="200" spans="14:14" ht="15.75" customHeight="1" thickBot="1" x14ac:dyDescent="0.3">
      <c r="N200" s="11"/>
    </row>
    <row r="201" spans="14:14" ht="15.75" customHeight="1" thickBot="1" x14ac:dyDescent="0.3">
      <c r="N201" s="11"/>
    </row>
    <row r="202" spans="14:14" ht="15.75" customHeight="1" thickBot="1" x14ac:dyDescent="0.3">
      <c r="N202" s="11"/>
    </row>
    <row r="203" spans="14:14" ht="15.75" customHeight="1" thickBot="1" x14ac:dyDescent="0.3">
      <c r="N203" s="11"/>
    </row>
    <row r="204" spans="14:14" ht="15.75" customHeight="1" thickBot="1" x14ac:dyDescent="0.3">
      <c r="N204" s="11"/>
    </row>
    <row r="205" spans="14:14" ht="15.75" customHeight="1" thickBot="1" x14ac:dyDescent="0.3">
      <c r="N205" s="11"/>
    </row>
    <row r="206" spans="14:14" ht="15.75" customHeight="1" thickBot="1" x14ac:dyDescent="0.3">
      <c r="N206" s="11"/>
    </row>
    <row r="207" spans="14:14" ht="15.75" customHeight="1" thickBot="1" x14ac:dyDescent="0.3">
      <c r="N207" s="11"/>
    </row>
    <row r="208" spans="14:14" ht="15.75" customHeight="1" thickBot="1" x14ac:dyDescent="0.3">
      <c r="N208" s="11"/>
    </row>
    <row r="209" spans="14:14" ht="15.75" customHeight="1" thickBot="1" x14ac:dyDescent="0.3">
      <c r="N209" s="11"/>
    </row>
    <row r="210" spans="14:14" ht="15.75" customHeight="1" thickBot="1" x14ac:dyDescent="0.3">
      <c r="N210" s="11"/>
    </row>
    <row r="211" spans="14:14" ht="15.75" customHeight="1" thickBot="1" x14ac:dyDescent="0.3">
      <c r="N211" s="11"/>
    </row>
    <row r="212" spans="14:14" ht="15.75" customHeight="1" thickBot="1" x14ac:dyDescent="0.3">
      <c r="N212" s="11"/>
    </row>
    <row r="213" spans="14:14" ht="15.75" customHeight="1" thickBot="1" x14ac:dyDescent="0.3">
      <c r="N213" s="11"/>
    </row>
    <row r="214" spans="14:14" ht="15.75" customHeight="1" thickBot="1" x14ac:dyDescent="0.3">
      <c r="N214" s="11"/>
    </row>
    <row r="215" spans="14:14" ht="15.75" customHeight="1" thickBot="1" x14ac:dyDescent="0.3">
      <c r="N215" s="11"/>
    </row>
    <row r="216" spans="14:14" ht="15.75" customHeight="1" thickBot="1" x14ac:dyDescent="0.3">
      <c r="N216" s="11"/>
    </row>
    <row r="217" spans="14:14" ht="15.75" customHeight="1" thickBot="1" x14ac:dyDescent="0.3">
      <c r="N217" s="11"/>
    </row>
    <row r="218" spans="14:14" ht="15.75" customHeight="1" thickBot="1" x14ac:dyDescent="0.3">
      <c r="N218" s="11"/>
    </row>
    <row r="219" spans="14:14" ht="15.75" customHeight="1" thickBot="1" x14ac:dyDescent="0.3">
      <c r="N219" s="11"/>
    </row>
    <row r="220" spans="14:14" ht="15.75" customHeight="1" thickBot="1" x14ac:dyDescent="0.3">
      <c r="N220" s="11"/>
    </row>
    <row r="221" spans="14:14" ht="15.75" customHeight="1" thickBot="1" x14ac:dyDescent="0.3">
      <c r="N221" s="11"/>
    </row>
    <row r="222" spans="14:14" ht="15.75" customHeight="1" thickBot="1" x14ac:dyDescent="0.3">
      <c r="N222" s="11"/>
    </row>
    <row r="223" spans="14:14" ht="15.75" customHeight="1" thickBot="1" x14ac:dyDescent="0.3">
      <c r="N223" s="11"/>
    </row>
    <row r="224" spans="14:14" ht="15.75" customHeight="1" thickBot="1" x14ac:dyDescent="0.3">
      <c r="N224" s="11"/>
    </row>
    <row r="225" spans="14:14" ht="15.75" customHeight="1" thickBot="1" x14ac:dyDescent="0.3">
      <c r="N225" s="11"/>
    </row>
    <row r="226" spans="14:14" ht="15.75" customHeight="1" thickBot="1" x14ac:dyDescent="0.3">
      <c r="N226" s="11"/>
    </row>
    <row r="227" spans="14:14" ht="15.75" customHeight="1" thickBot="1" x14ac:dyDescent="0.3">
      <c r="N227" s="11"/>
    </row>
    <row r="228" spans="14:14" ht="15.75" customHeight="1" thickBot="1" x14ac:dyDescent="0.3">
      <c r="N228" s="11"/>
    </row>
    <row r="229" spans="14:14" ht="15.75" customHeight="1" thickBot="1" x14ac:dyDescent="0.3">
      <c r="N229" s="11"/>
    </row>
    <row r="230" spans="14:14" ht="15.75" customHeight="1" thickBot="1" x14ac:dyDescent="0.3">
      <c r="N230" s="11"/>
    </row>
    <row r="231" spans="14:14" ht="15.75" customHeight="1" thickBot="1" x14ac:dyDescent="0.3">
      <c r="N231" s="11"/>
    </row>
    <row r="232" spans="14:14" ht="15.75" customHeight="1" thickBot="1" x14ac:dyDescent="0.3">
      <c r="N232" s="11"/>
    </row>
    <row r="233" spans="14:14" ht="15.75" customHeight="1" thickBot="1" x14ac:dyDescent="0.3">
      <c r="N233" s="11"/>
    </row>
    <row r="234" spans="14:14" ht="15.75" customHeight="1" thickBot="1" x14ac:dyDescent="0.3">
      <c r="N234" s="11"/>
    </row>
    <row r="235" spans="14:14" ht="15.75" customHeight="1" thickBot="1" x14ac:dyDescent="0.3">
      <c r="N235" s="11"/>
    </row>
    <row r="236" spans="14:14" ht="15.75" customHeight="1" thickBot="1" x14ac:dyDescent="0.3">
      <c r="N236" s="11"/>
    </row>
    <row r="237" spans="14:14" ht="15.75" customHeight="1" thickBot="1" x14ac:dyDescent="0.3">
      <c r="N237" s="11"/>
    </row>
    <row r="238" spans="14:14" ht="15.75" customHeight="1" thickBot="1" x14ac:dyDescent="0.3">
      <c r="N238" s="11"/>
    </row>
    <row r="239" spans="14:14" ht="15.75" customHeight="1" thickBot="1" x14ac:dyDescent="0.3">
      <c r="N239" s="11"/>
    </row>
    <row r="240" spans="14:14" ht="15.75" customHeight="1" thickBot="1" x14ac:dyDescent="0.3">
      <c r="N240" s="11"/>
    </row>
    <row r="241" spans="14:14" ht="15.75" customHeight="1" thickBot="1" x14ac:dyDescent="0.3">
      <c r="N241" s="11"/>
    </row>
    <row r="242" spans="14:14" ht="15.75" customHeight="1" thickBot="1" x14ac:dyDescent="0.3">
      <c r="N242" s="11"/>
    </row>
    <row r="243" spans="14:14" ht="15.75" customHeight="1" thickBot="1" x14ac:dyDescent="0.3">
      <c r="N243" s="11"/>
    </row>
    <row r="244" spans="14:14" ht="15.75" customHeight="1" thickBot="1" x14ac:dyDescent="0.3">
      <c r="N244" s="11"/>
    </row>
    <row r="245" spans="14:14" ht="15.75" customHeight="1" thickBot="1" x14ac:dyDescent="0.3">
      <c r="N245" s="11"/>
    </row>
    <row r="246" spans="14:14" ht="15.75" customHeight="1" thickBot="1" x14ac:dyDescent="0.3">
      <c r="N246" s="11"/>
    </row>
    <row r="247" spans="14:14" ht="15.75" customHeight="1" thickBot="1" x14ac:dyDescent="0.3">
      <c r="N247" s="11"/>
    </row>
    <row r="248" spans="14:14" ht="15.75" customHeight="1" thickBot="1" x14ac:dyDescent="0.3">
      <c r="N248" s="11"/>
    </row>
    <row r="249" spans="14:14" ht="15.75" customHeight="1" thickBot="1" x14ac:dyDescent="0.3">
      <c r="N249" s="11"/>
    </row>
    <row r="250" spans="14:14" ht="15.75" customHeight="1" thickBot="1" x14ac:dyDescent="0.3">
      <c r="N250" s="11"/>
    </row>
    <row r="251" spans="14:14" ht="15.75" customHeight="1" thickBot="1" x14ac:dyDescent="0.3">
      <c r="N251" s="11"/>
    </row>
    <row r="252" spans="14:14" ht="15.75" customHeight="1" thickBot="1" x14ac:dyDescent="0.3">
      <c r="N252" s="11"/>
    </row>
    <row r="253" spans="14:14" ht="15.75" customHeight="1" thickBot="1" x14ac:dyDescent="0.3">
      <c r="N253" s="11"/>
    </row>
    <row r="254" spans="14:14" ht="15.75" customHeight="1" thickBot="1" x14ac:dyDescent="0.3">
      <c r="N254" s="11"/>
    </row>
    <row r="255" spans="14:14" ht="15.75" customHeight="1" thickBot="1" x14ac:dyDescent="0.3">
      <c r="N255" s="11"/>
    </row>
    <row r="256" spans="14:14" ht="15.75" customHeight="1" thickBot="1" x14ac:dyDescent="0.3">
      <c r="N256" s="11"/>
    </row>
    <row r="257" spans="14:14" ht="15.75" customHeight="1" thickBot="1" x14ac:dyDescent="0.3">
      <c r="N257" s="11"/>
    </row>
    <row r="258" spans="14:14" ht="15.75" customHeight="1" thickBot="1" x14ac:dyDescent="0.3">
      <c r="N258" s="11"/>
    </row>
    <row r="259" spans="14:14" ht="15.75" customHeight="1" thickBot="1" x14ac:dyDescent="0.3">
      <c r="N259" s="11"/>
    </row>
    <row r="260" spans="14:14" ht="15.75" customHeight="1" thickBot="1" x14ac:dyDescent="0.3">
      <c r="N260" s="11"/>
    </row>
    <row r="261" spans="14:14" ht="15.75" customHeight="1" thickBot="1" x14ac:dyDescent="0.3">
      <c r="N261" s="11"/>
    </row>
    <row r="262" spans="14:14" ht="15.75" customHeight="1" thickBot="1" x14ac:dyDescent="0.3">
      <c r="N262" s="11"/>
    </row>
    <row r="263" spans="14:14" ht="15.75" customHeight="1" thickBot="1" x14ac:dyDescent="0.3">
      <c r="N263" s="11"/>
    </row>
    <row r="264" spans="14:14" ht="15.75" customHeight="1" thickBot="1" x14ac:dyDescent="0.3">
      <c r="N264" s="11"/>
    </row>
    <row r="265" spans="14:14" ht="15.75" customHeight="1" thickBot="1" x14ac:dyDescent="0.3">
      <c r="N265" s="11"/>
    </row>
    <row r="266" spans="14:14" ht="15.75" customHeight="1" thickBot="1" x14ac:dyDescent="0.3">
      <c r="N266" s="11"/>
    </row>
    <row r="267" spans="14:14" ht="15.75" customHeight="1" thickBot="1" x14ac:dyDescent="0.3">
      <c r="N267" s="11"/>
    </row>
    <row r="268" spans="14:14" ht="15.75" customHeight="1" thickBot="1" x14ac:dyDescent="0.3">
      <c r="N268" s="11"/>
    </row>
    <row r="269" spans="14:14" ht="15.75" customHeight="1" thickBot="1" x14ac:dyDescent="0.3">
      <c r="N269" s="11"/>
    </row>
    <row r="270" spans="14:14" ht="15.75" customHeight="1" thickBot="1" x14ac:dyDescent="0.3">
      <c r="N270" s="11"/>
    </row>
    <row r="271" spans="14:14" ht="15.75" customHeight="1" thickBot="1" x14ac:dyDescent="0.3">
      <c r="N271" s="11"/>
    </row>
    <row r="272" spans="14:14" ht="15.75" customHeight="1" thickBot="1" x14ac:dyDescent="0.3">
      <c r="N272" s="11"/>
    </row>
    <row r="273" spans="14:14" ht="15.75" customHeight="1" thickBot="1" x14ac:dyDescent="0.3">
      <c r="N273" s="11"/>
    </row>
    <row r="274" spans="14:14" ht="15.75" customHeight="1" thickBot="1" x14ac:dyDescent="0.3">
      <c r="N274" s="11"/>
    </row>
    <row r="275" spans="14:14" ht="15.75" customHeight="1" thickBot="1" x14ac:dyDescent="0.3">
      <c r="N275" s="11"/>
    </row>
    <row r="276" spans="14:14" ht="15.75" customHeight="1" thickBot="1" x14ac:dyDescent="0.3">
      <c r="N276" s="11"/>
    </row>
    <row r="277" spans="14:14" ht="15.75" customHeight="1" thickBot="1" x14ac:dyDescent="0.3">
      <c r="N277" s="11"/>
    </row>
    <row r="278" spans="14:14" ht="15.75" customHeight="1" thickBot="1" x14ac:dyDescent="0.3">
      <c r="N278" s="11"/>
    </row>
    <row r="279" spans="14:14" ht="15.75" customHeight="1" thickBot="1" x14ac:dyDescent="0.3">
      <c r="N279" s="11"/>
    </row>
    <row r="280" spans="14:14" ht="15.75" customHeight="1" thickBot="1" x14ac:dyDescent="0.3">
      <c r="N280" s="11"/>
    </row>
    <row r="281" spans="14:14" ht="15.75" customHeight="1" thickBot="1" x14ac:dyDescent="0.3">
      <c r="N281" s="11"/>
    </row>
    <row r="282" spans="14:14" ht="15.75" customHeight="1" thickBot="1" x14ac:dyDescent="0.3">
      <c r="N282" s="11"/>
    </row>
    <row r="283" spans="14:14" ht="15.75" customHeight="1" thickBot="1" x14ac:dyDescent="0.3">
      <c r="N283" s="11"/>
    </row>
    <row r="284" spans="14:14" ht="15.75" customHeight="1" thickBot="1" x14ac:dyDescent="0.3">
      <c r="N284" s="11"/>
    </row>
    <row r="285" spans="14:14" ht="15.75" customHeight="1" thickBot="1" x14ac:dyDescent="0.3">
      <c r="N285" s="11"/>
    </row>
    <row r="286" spans="14:14" ht="15.75" customHeight="1" thickBot="1" x14ac:dyDescent="0.3">
      <c r="N286" s="11"/>
    </row>
    <row r="287" spans="14:14" ht="15.75" customHeight="1" thickBot="1" x14ac:dyDescent="0.3">
      <c r="N287" s="11"/>
    </row>
    <row r="288" spans="14:14" ht="15.75" customHeight="1" thickBot="1" x14ac:dyDescent="0.3">
      <c r="N288" s="11"/>
    </row>
    <row r="289" spans="14:14" ht="15.75" customHeight="1" thickBot="1" x14ac:dyDescent="0.3">
      <c r="N289" s="11"/>
    </row>
    <row r="290" spans="14:14" ht="15.75" customHeight="1" thickBot="1" x14ac:dyDescent="0.3">
      <c r="N290" s="11"/>
    </row>
    <row r="291" spans="14:14" ht="15.75" customHeight="1" thickBot="1" x14ac:dyDescent="0.3">
      <c r="N291" s="11"/>
    </row>
    <row r="292" spans="14:14" ht="15.75" customHeight="1" thickBot="1" x14ac:dyDescent="0.3">
      <c r="N292" s="11"/>
    </row>
    <row r="293" spans="14:14" ht="15.75" customHeight="1" thickBot="1" x14ac:dyDescent="0.3">
      <c r="N293" s="11"/>
    </row>
    <row r="294" spans="14:14" ht="15.75" customHeight="1" thickBot="1" x14ac:dyDescent="0.3">
      <c r="N294" s="11"/>
    </row>
    <row r="295" spans="14:14" ht="15.75" customHeight="1" thickBot="1" x14ac:dyDescent="0.3">
      <c r="N295" s="11"/>
    </row>
    <row r="296" spans="14:14" ht="15.75" customHeight="1" thickBot="1" x14ac:dyDescent="0.3">
      <c r="N296" s="11"/>
    </row>
    <row r="297" spans="14:14" ht="15.75" customHeight="1" thickBot="1" x14ac:dyDescent="0.3">
      <c r="N297" s="11"/>
    </row>
    <row r="298" spans="14:14" ht="15.75" customHeight="1" thickBot="1" x14ac:dyDescent="0.3">
      <c r="N298" s="11"/>
    </row>
    <row r="299" spans="14:14" ht="15.75" customHeight="1" thickBot="1" x14ac:dyDescent="0.3">
      <c r="N299" s="11"/>
    </row>
    <row r="300" spans="14:14" ht="15.75" customHeight="1" thickBot="1" x14ac:dyDescent="0.3">
      <c r="N300" s="11"/>
    </row>
    <row r="301" spans="14:14" ht="15.75" customHeight="1" thickBot="1" x14ac:dyDescent="0.3">
      <c r="N301" s="11"/>
    </row>
    <row r="302" spans="14:14" ht="15.75" customHeight="1" thickBot="1" x14ac:dyDescent="0.3">
      <c r="N302" s="11"/>
    </row>
    <row r="303" spans="14:14" ht="15.75" customHeight="1" thickBot="1" x14ac:dyDescent="0.3">
      <c r="N303" s="11"/>
    </row>
    <row r="304" spans="14:14" ht="15.75" customHeight="1" thickBot="1" x14ac:dyDescent="0.3">
      <c r="N304" s="11"/>
    </row>
    <row r="305" spans="14:14" ht="15.75" customHeight="1" thickBot="1" x14ac:dyDescent="0.3">
      <c r="N305" s="11"/>
    </row>
    <row r="306" spans="14:14" ht="15.75" customHeight="1" thickBot="1" x14ac:dyDescent="0.3">
      <c r="N306" s="11"/>
    </row>
    <row r="307" spans="14:14" ht="15.75" customHeight="1" thickBot="1" x14ac:dyDescent="0.3">
      <c r="N307" s="11"/>
    </row>
    <row r="308" spans="14:14" ht="15.75" customHeight="1" thickBot="1" x14ac:dyDescent="0.3">
      <c r="N308" s="11"/>
    </row>
    <row r="309" spans="14:14" ht="15.75" customHeight="1" thickBot="1" x14ac:dyDescent="0.3">
      <c r="N309" s="11"/>
    </row>
    <row r="310" spans="14:14" ht="15.75" customHeight="1" thickBot="1" x14ac:dyDescent="0.3">
      <c r="N310" s="11"/>
    </row>
    <row r="311" spans="14:14" ht="15.75" customHeight="1" thickBot="1" x14ac:dyDescent="0.3">
      <c r="N311" s="11"/>
    </row>
    <row r="312" spans="14:14" ht="15.75" customHeight="1" thickBot="1" x14ac:dyDescent="0.3">
      <c r="N312" s="11"/>
    </row>
    <row r="313" spans="14:14" ht="15.75" customHeight="1" thickBot="1" x14ac:dyDescent="0.3">
      <c r="N313" s="11"/>
    </row>
    <row r="314" spans="14:14" ht="15.75" customHeight="1" thickBot="1" x14ac:dyDescent="0.3">
      <c r="N314" s="11"/>
    </row>
    <row r="315" spans="14:14" ht="15.75" customHeight="1" thickBot="1" x14ac:dyDescent="0.3">
      <c r="N315" s="11"/>
    </row>
    <row r="316" spans="14:14" ht="15.75" customHeight="1" thickBot="1" x14ac:dyDescent="0.3">
      <c r="N316" s="11"/>
    </row>
    <row r="317" spans="14:14" ht="15.75" customHeight="1" thickBot="1" x14ac:dyDescent="0.3">
      <c r="N317" s="11"/>
    </row>
    <row r="318" spans="14:14" ht="15.75" customHeight="1" thickBot="1" x14ac:dyDescent="0.3">
      <c r="N318" s="11"/>
    </row>
    <row r="319" spans="14:14" ht="15.75" customHeight="1" thickBot="1" x14ac:dyDescent="0.3">
      <c r="N319" s="11"/>
    </row>
    <row r="320" spans="14:14" ht="15.75" customHeight="1" thickBot="1" x14ac:dyDescent="0.3">
      <c r="N320" s="11"/>
    </row>
    <row r="321" spans="14:14" ht="15.75" customHeight="1" thickBot="1" x14ac:dyDescent="0.3">
      <c r="N321" s="11"/>
    </row>
    <row r="322" spans="14:14" ht="15.75" customHeight="1" thickBot="1" x14ac:dyDescent="0.3">
      <c r="N322" s="11"/>
    </row>
    <row r="323" spans="14:14" ht="15.75" customHeight="1" thickBot="1" x14ac:dyDescent="0.3">
      <c r="N323" s="11"/>
    </row>
    <row r="324" spans="14:14" ht="15.75" customHeight="1" thickBot="1" x14ac:dyDescent="0.3">
      <c r="N324" s="11"/>
    </row>
    <row r="325" spans="14:14" ht="15.75" customHeight="1" thickBot="1" x14ac:dyDescent="0.3">
      <c r="N325" s="11"/>
    </row>
    <row r="326" spans="14:14" ht="15.75" customHeight="1" thickBot="1" x14ac:dyDescent="0.3">
      <c r="N326" s="11"/>
    </row>
    <row r="327" spans="14:14" ht="15.75" customHeight="1" thickBot="1" x14ac:dyDescent="0.3">
      <c r="N327" s="11"/>
    </row>
    <row r="328" spans="14:14" ht="15.75" customHeight="1" thickBot="1" x14ac:dyDescent="0.3">
      <c r="N328" s="11"/>
    </row>
    <row r="329" spans="14:14" ht="15.75" customHeight="1" thickBot="1" x14ac:dyDescent="0.3">
      <c r="N329" s="11"/>
    </row>
    <row r="330" spans="14:14" ht="15.75" customHeight="1" thickBot="1" x14ac:dyDescent="0.3">
      <c r="N330" s="11"/>
    </row>
    <row r="331" spans="14:14" ht="15.75" customHeight="1" thickBot="1" x14ac:dyDescent="0.3">
      <c r="N331" s="11"/>
    </row>
    <row r="332" spans="14:14" ht="15.75" customHeight="1" thickBot="1" x14ac:dyDescent="0.3">
      <c r="N332" s="11"/>
    </row>
    <row r="333" spans="14:14" ht="15.75" customHeight="1" thickBot="1" x14ac:dyDescent="0.3">
      <c r="N333" s="11"/>
    </row>
    <row r="334" spans="14:14" ht="15.75" customHeight="1" thickBot="1" x14ac:dyDescent="0.3">
      <c r="N334" s="11"/>
    </row>
    <row r="335" spans="14:14" ht="15.75" customHeight="1" thickBot="1" x14ac:dyDescent="0.3">
      <c r="N335" s="11"/>
    </row>
    <row r="336" spans="14:14" ht="15.75" customHeight="1" thickBot="1" x14ac:dyDescent="0.3">
      <c r="N336" s="11"/>
    </row>
    <row r="337" spans="14:14" ht="15.75" customHeight="1" thickBot="1" x14ac:dyDescent="0.3">
      <c r="N337" s="11"/>
    </row>
    <row r="338" spans="14:14" ht="15.75" customHeight="1" thickBot="1" x14ac:dyDescent="0.3">
      <c r="N338" s="11"/>
    </row>
    <row r="339" spans="14:14" ht="15.75" customHeight="1" thickBot="1" x14ac:dyDescent="0.3">
      <c r="N339" s="11"/>
    </row>
    <row r="340" spans="14:14" ht="15.75" customHeight="1" thickBot="1" x14ac:dyDescent="0.3">
      <c r="N340" s="11"/>
    </row>
    <row r="341" spans="14:14" ht="15.75" customHeight="1" thickBot="1" x14ac:dyDescent="0.3">
      <c r="N341" s="11"/>
    </row>
    <row r="342" spans="14:14" ht="15.75" customHeight="1" thickBot="1" x14ac:dyDescent="0.3">
      <c r="N342" s="11"/>
    </row>
    <row r="343" spans="14:14" ht="15.75" customHeight="1" thickBot="1" x14ac:dyDescent="0.3">
      <c r="N343" s="11"/>
    </row>
    <row r="344" spans="14:14" ht="15.75" customHeight="1" thickBot="1" x14ac:dyDescent="0.3">
      <c r="N344" s="11"/>
    </row>
    <row r="345" spans="14:14" ht="15.75" customHeight="1" thickBot="1" x14ac:dyDescent="0.3">
      <c r="N345" s="11"/>
    </row>
    <row r="346" spans="14:14" ht="15.75" customHeight="1" thickBot="1" x14ac:dyDescent="0.3">
      <c r="N346" s="11"/>
    </row>
    <row r="347" spans="14:14" ht="15.75" customHeight="1" thickBot="1" x14ac:dyDescent="0.3">
      <c r="N347" s="11"/>
    </row>
    <row r="348" spans="14:14" ht="15.75" customHeight="1" thickBot="1" x14ac:dyDescent="0.3">
      <c r="N348" s="11"/>
    </row>
    <row r="349" spans="14:14" ht="15.75" customHeight="1" thickBot="1" x14ac:dyDescent="0.3">
      <c r="N349" s="11"/>
    </row>
    <row r="350" spans="14:14" ht="15.75" customHeight="1" thickBot="1" x14ac:dyDescent="0.3">
      <c r="N350" s="11"/>
    </row>
    <row r="351" spans="14:14" ht="15.75" customHeight="1" thickBot="1" x14ac:dyDescent="0.3">
      <c r="N351" s="11"/>
    </row>
    <row r="352" spans="14:14" ht="15.75" customHeight="1" thickBot="1" x14ac:dyDescent="0.3">
      <c r="N352" s="11"/>
    </row>
    <row r="353" spans="14:14" ht="15.75" customHeight="1" thickBot="1" x14ac:dyDescent="0.3">
      <c r="N353" s="11"/>
    </row>
    <row r="354" spans="14:14" ht="15.75" customHeight="1" thickBot="1" x14ac:dyDescent="0.3">
      <c r="N354" s="11"/>
    </row>
    <row r="355" spans="14:14" ht="15.75" customHeight="1" thickBot="1" x14ac:dyDescent="0.3">
      <c r="N355" s="11"/>
    </row>
    <row r="356" spans="14:14" ht="15.75" customHeight="1" thickBot="1" x14ac:dyDescent="0.3">
      <c r="N356" s="11"/>
    </row>
    <row r="357" spans="14:14" ht="15.75" customHeight="1" thickBot="1" x14ac:dyDescent="0.3">
      <c r="N357" s="11"/>
    </row>
    <row r="358" spans="14:14" ht="15.75" customHeight="1" thickBot="1" x14ac:dyDescent="0.3">
      <c r="N358" s="11"/>
    </row>
    <row r="359" spans="14:14" ht="15.75" customHeight="1" thickBot="1" x14ac:dyDescent="0.3">
      <c r="N359" s="11"/>
    </row>
    <row r="360" spans="14:14" ht="15.75" customHeight="1" thickBot="1" x14ac:dyDescent="0.3">
      <c r="N360" s="11"/>
    </row>
    <row r="361" spans="14:14" ht="15.75" customHeight="1" thickBot="1" x14ac:dyDescent="0.3">
      <c r="N361" s="11"/>
    </row>
    <row r="362" spans="14:14" ht="15.75" customHeight="1" thickBot="1" x14ac:dyDescent="0.3">
      <c r="N362" s="11"/>
    </row>
    <row r="363" spans="14:14" ht="15.75" customHeight="1" thickBot="1" x14ac:dyDescent="0.3">
      <c r="N363" s="11"/>
    </row>
    <row r="364" spans="14:14" ht="15.75" customHeight="1" thickBot="1" x14ac:dyDescent="0.3">
      <c r="N364" s="11"/>
    </row>
    <row r="365" spans="14:14" ht="15.75" customHeight="1" thickBot="1" x14ac:dyDescent="0.3">
      <c r="N365" s="11"/>
    </row>
    <row r="366" spans="14:14" ht="15.75" customHeight="1" thickBot="1" x14ac:dyDescent="0.3">
      <c r="N366" s="11"/>
    </row>
    <row r="367" spans="14:14" ht="15.75" customHeight="1" thickBot="1" x14ac:dyDescent="0.3">
      <c r="N367" s="11"/>
    </row>
    <row r="368" spans="14:14" ht="15.75" customHeight="1" thickBot="1" x14ac:dyDescent="0.3">
      <c r="N368" s="11"/>
    </row>
    <row r="369" spans="14:14" ht="15.75" customHeight="1" thickBot="1" x14ac:dyDescent="0.3">
      <c r="N369" s="11"/>
    </row>
    <row r="370" spans="14:14" ht="15.75" customHeight="1" thickBot="1" x14ac:dyDescent="0.3">
      <c r="N370" s="11"/>
    </row>
    <row r="371" spans="14:14" ht="15.75" customHeight="1" thickBot="1" x14ac:dyDescent="0.3">
      <c r="N371" s="11"/>
    </row>
    <row r="372" spans="14:14" ht="15.75" customHeight="1" thickBot="1" x14ac:dyDescent="0.3">
      <c r="N372" s="11"/>
    </row>
    <row r="373" spans="14:14" ht="15.75" customHeight="1" thickBot="1" x14ac:dyDescent="0.3">
      <c r="N373" s="11"/>
    </row>
    <row r="374" spans="14:14" ht="15.75" customHeight="1" thickBot="1" x14ac:dyDescent="0.3">
      <c r="N374" s="11"/>
    </row>
    <row r="375" spans="14:14" ht="15.75" customHeight="1" thickBot="1" x14ac:dyDescent="0.3">
      <c r="N375" s="11"/>
    </row>
    <row r="376" spans="14:14" ht="15.75" customHeight="1" thickBot="1" x14ac:dyDescent="0.3">
      <c r="N376" s="11"/>
    </row>
    <row r="377" spans="14:14" ht="15.75" customHeight="1" thickBot="1" x14ac:dyDescent="0.3">
      <c r="N377" s="11"/>
    </row>
    <row r="378" spans="14:14" ht="15.75" customHeight="1" thickBot="1" x14ac:dyDescent="0.3">
      <c r="N378" s="11"/>
    </row>
    <row r="379" spans="14:14" ht="15.75" customHeight="1" thickBot="1" x14ac:dyDescent="0.3">
      <c r="N379" s="11"/>
    </row>
    <row r="380" spans="14:14" ht="15.75" customHeight="1" thickBot="1" x14ac:dyDescent="0.3">
      <c r="N380" s="11"/>
    </row>
    <row r="381" spans="14:14" ht="15.75" customHeight="1" thickBot="1" x14ac:dyDescent="0.3">
      <c r="N381" s="11"/>
    </row>
    <row r="382" spans="14:14" ht="15.75" customHeight="1" thickBot="1" x14ac:dyDescent="0.3">
      <c r="N382" s="11"/>
    </row>
    <row r="383" spans="14:14" ht="15.75" customHeight="1" thickBot="1" x14ac:dyDescent="0.3">
      <c r="N383" s="11"/>
    </row>
    <row r="384" spans="14:14" ht="15.75" customHeight="1" thickBot="1" x14ac:dyDescent="0.3">
      <c r="N384" s="11"/>
    </row>
    <row r="385" spans="14:14" ht="15.75" customHeight="1" thickBot="1" x14ac:dyDescent="0.3">
      <c r="N385" s="11"/>
    </row>
    <row r="386" spans="14:14" ht="15.75" customHeight="1" thickBot="1" x14ac:dyDescent="0.3">
      <c r="N386" s="11"/>
    </row>
    <row r="387" spans="14:14" ht="15.75" customHeight="1" thickBot="1" x14ac:dyDescent="0.3">
      <c r="N387" s="11"/>
    </row>
    <row r="388" spans="14:14" ht="15.75" customHeight="1" thickBot="1" x14ac:dyDescent="0.3">
      <c r="N388" s="11"/>
    </row>
    <row r="389" spans="14:14" ht="15.75" customHeight="1" thickBot="1" x14ac:dyDescent="0.3">
      <c r="N389" s="11"/>
    </row>
    <row r="390" spans="14:14" ht="15.75" customHeight="1" thickBot="1" x14ac:dyDescent="0.3">
      <c r="N390" s="11"/>
    </row>
    <row r="391" spans="14:14" ht="15.75" customHeight="1" thickBot="1" x14ac:dyDescent="0.3">
      <c r="N391" s="11"/>
    </row>
    <row r="392" spans="14:14" ht="15.75" customHeight="1" thickBot="1" x14ac:dyDescent="0.3">
      <c r="N392" s="11"/>
    </row>
    <row r="393" spans="14:14" ht="15.75" customHeight="1" thickBot="1" x14ac:dyDescent="0.3">
      <c r="N393" s="11"/>
    </row>
    <row r="394" spans="14:14" ht="15.75" customHeight="1" thickBot="1" x14ac:dyDescent="0.3">
      <c r="N394" s="11"/>
    </row>
    <row r="395" spans="14:14" ht="15.75" customHeight="1" thickBot="1" x14ac:dyDescent="0.3">
      <c r="N395" s="11"/>
    </row>
    <row r="396" spans="14:14" ht="15.75" customHeight="1" thickBot="1" x14ac:dyDescent="0.3">
      <c r="N396" s="11"/>
    </row>
    <row r="397" spans="14:14" ht="15.75" customHeight="1" thickBot="1" x14ac:dyDescent="0.3">
      <c r="N397" s="11"/>
    </row>
    <row r="398" spans="14:14" ht="15.75" customHeight="1" thickBot="1" x14ac:dyDescent="0.3">
      <c r="N398" s="11"/>
    </row>
    <row r="399" spans="14:14" ht="15.75" customHeight="1" thickBot="1" x14ac:dyDescent="0.3">
      <c r="N399" s="11"/>
    </row>
    <row r="400" spans="14:14" ht="15.75" customHeight="1" thickBot="1" x14ac:dyDescent="0.3">
      <c r="N400" s="11"/>
    </row>
    <row r="401" spans="14:14" ht="15.75" customHeight="1" thickBot="1" x14ac:dyDescent="0.3">
      <c r="N401" s="11"/>
    </row>
    <row r="402" spans="14:14" ht="15.75" customHeight="1" thickBot="1" x14ac:dyDescent="0.3">
      <c r="N402" s="11"/>
    </row>
    <row r="403" spans="14:14" ht="15.75" customHeight="1" thickBot="1" x14ac:dyDescent="0.3">
      <c r="N403" s="11"/>
    </row>
    <row r="404" spans="14:14" ht="15.75" customHeight="1" thickBot="1" x14ac:dyDescent="0.3">
      <c r="N404" s="11"/>
    </row>
    <row r="405" spans="14:14" ht="15.75" customHeight="1" thickBot="1" x14ac:dyDescent="0.3">
      <c r="N405" s="11"/>
    </row>
    <row r="406" spans="14:14" ht="15.75" customHeight="1" thickBot="1" x14ac:dyDescent="0.3">
      <c r="N406" s="11"/>
    </row>
    <row r="407" spans="14:14" ht="15.75" customHeight="1" thickBot="1" x14ac:dyDescent="0.3">
      <c r="N407" s="11"/>
    </row>
    <row r="408" spans="14:14" ht="15.75" customHeight="1" thickBot="1" x14ac:dyDescent="0.3">
      <c r="N408" s="11"/>
    </row>
    <row r="409" spans="14:14" ht="15.75" customHeight="1" thickBot="1" x14ac:dyDescent="0.3">
      <c r="N409" s="11"/>
    </row>
    <row r="410" spans="14:14" ht="15.75" customHeight="1" thickBot="1" x14ac:dyDescent="0.3">
      <c r="N410" s="11"/>
    </row>
    <row r="411" spans="14:14" ht="15.75" customHeight="1" thickBot="1" x14ac:dyDescent="0.3">
      <c r="N411" s="11"/>
    </row>
    <row r="412" spans="14:14" ht="15.75" customHeight="1" thickBot="1" x14ac:dyDescent="0.3">
      <c r="N412" s="11"/>
    </row>
    <row r="413" spans="14:14" ht="15.75" customHeight="1" thickBot="1" x14ac:dyDescent="0.3">
      <c r="N413" s="11"/>
    </row>
    <row r="414" spans="14:14" ht="15.75" customHeight="1" thickBot="1" x14ac:dyDescent="0.3">
      <c r="N414" s="11"/>
    </row>
    <row r="415" spans="14:14" ht="15.75" customHeight="1" thickBot="1" x14ac:dyDescent="0.3">
      <c r="N415" s="11"/>
    </row>
    <row r="416" spans="14:14" ht="15.75" customHeight="1" thickBot="1" x14ac:dyDescent="0.3">
      <c r="N416" s="11"/>
    </row>
    <row r="417" spans="14:14" ht="15.75" customHeight="1" thickBot="1" x14ac:dyDescent="0.3">
      <c r="N417" s="11"/>
    </row>
    <row r="418" spans="14:14" ht="15.75" customHeight="1" thickBot="1" x14ac:dyDescent="0.3">
      <c r="N418" s="11"/>
    </row>
    <row r="419" spans="14:14" ht="15.75" customHeight="1" thickBot="1" x14ac:dyDescent="0.3">
      <c r="N419" s="11"/>
    </row>
    <row r="420" spans="14:14" ht="15.75" customHeight="1" thickBot="1" x14ac:dyDescent="0.3">
      <c r="N420" s="11"/>
    </row>
    <row r="421" spans="14:14" ht="15.75" customHeight="1" thickBot="1" x14ac:dyDescent="0.3">
      <c r="N421" s="11"/>
    </row>
    <row r="422" spans="14:14" ht="15.75" customHeight="1" thickBot="1" x14ac:dyDescent="0.3">
      <c r="N422" s="11"/>
    </row>
    <row r="423" spans="14:14" ht="15.75" customHeight="1" thickBot="1" x14ac:dyDescent="0.3">
      <c r="N423" s="11"/>
    </row>
    <row r="424" spans="14:14" ht="15.75" customHeight="1" thickBot="1" x14ac:dyDescent="0.3">
      <c r="N424" s="11"/>
    </row>
    <row r="425" spans="14:14" ht="15.75" customHeight="1" thickBot="1" x14ac:dyDescent="0.3">
      <c r="N425" s="11"/>
    </row>
    <row r="426" spans="14:14" ht="15.75" customHeight="1" thickBot="1" x14ac:dyDescent="0.3">
      <c r="N426" s="11"/>
    </row>
    <row r="427" spans="14:14" ht="15.75" customHeight="1" thickBot="1" x14ac:dyDescent="0.3">
      <c r="N427" s="11"/>
    </row>
    <row r="428" spans="14:14" ht="15.75" customHeight="1" thickBot="1" x14ac:dyDescent="0.3">
      <c r="N428" s="11"/>
    </row>
    <row r="429" spans="14:14" ht="15.75" customHeight="1" thickBot="1" x14ac:dyDescent="0.3">
      <c r="N429" s="11"/>
    </row>
    <row r="430" spans="14:14" ht="15.75" customHeight="1" thickBot="1" x14ac:dyDescent="0.3">
      <c r="N430" s="11"/>
    </row>
    <row r="431" spans="14:14" ht="15.75" customHeight="1" thickBot="1" x14ac:dyDescent="0.3">
      <c r="N431" s="11"/>
    </row>
    <row r="432" spans="14:14" ht="15.75" customHeight="1" thickBot="1" x14ac:dyDescent="0.3">
      <c r="N432" s="11"/>
    </row>
    <row r="433" spans="14:14" ht="15.75" customHeight="1" thickBot="1" x14ac:dyDescent="0.3">
      <c r="N433" s="11"/>
    </row>
    <row r="434" spans="14:14" ht="15.75" customHeight="1" thickBot="1" x14ac:dyDescent="0.3">
      <c r="N434" s="11"/>
    </row>
    <row r="435" spans="14:14" ht="15.75" customHeight="1" thickBot="1" x14ac:dyDescent="0.3">
      <c r="N435" s="11"/>
    </row>
    <row r="436" spans="14:14" ht="15.75" customHeight="1" thickBot="1" x14ac:dyDescent="0.3">
      <c r="N436" s="11"/>
    </row>
    <row r="437" spans="14:14" ht="15.75" customHeight="1" thickBot="1" x14ac:dyDescent="0.3">
      <c r="N437" s="11"/>
    </row>
    <row r="438" spans="14:14" ht="15.75" customHeight="1" thickBot="1" x14ac:dyDescent="0.3">
      <c r="N438" s="11"/>
    </row>
    <row r="439" spans="14:14" ht="15.75" customHeight="1" thickBot="1" x14ac:dyDescent="0.3">
      <c r="N439" s="11"/>
    </row>
    <row r="440" spans="14:14" ht="15.75" customHeight="1" thickBot="1" x14ac:dyDescent="0.3">
      <c r="N440" s="11"/>
    </row>
    <row r="441" spans="14:14" ht="15.75" customHeight="1" thickBot="1" x14ac:dyDescent="0.3">
      <c r="N441" s="11"/>
    </row>
    <row r="442" spans="14:14" ht="15.75" customHeight="1" thickBot="1" x14ac:dyDescent="0.3">
      <c r="N442" s="11"/>
    </row>
    <row r="443" spans="14:14" ht="15.75" customHeight="1" thickBot="1" x14ac:dyDescent="0.3">
      <c r="N443" s="11"/>
    </row>
    <row r="444" spans="14:14" ht="15.75" customHeight="1" thickBot="1" x14ac:dyDescent="0.3">
      <c r="N444" s="11"/>
    </row>
    <row r="445" spans="14:14" ht="15.75" customHeight="1" thickBot="1" x14ac:dyDescent="0.3">
      <c r="N445" s="11"/>
    </row>
    <row r="446" spans="14:14" ht="15.75" customHeight="1" thickBot="1" x14ac:dyDescent="0.3">
      <c r="N446" s="11"/>
    </row>
    <row r="447" spans="14:14" ht="15.75" customHeight="1" thickBot="1" x14ac:dyDescent="0.3">
      <c r="N447" s="11"/>
    </row>
    <row r="448" spans="14:14" ht="15.75" customHeight="1" thickBot="1" x14ac:dyDescent="0.3">
      <c r="N448" s="11"/>
    </row>
    <row r="449" spans="14:14" ht="15.75" customHeight="1" thickBot="1" x14ac:dyDescent="0.3">
      <c r="N449" s="11"/>
    </row>
    <row r="450" spans="14:14" ht="15.75" customHeight="1" thickBot="1" x14ac:dyDescent="0.3">
      <c r="N450" s="11"/>
    </row>
    <row r="451" spans="14:14" ht="15.75" customHeight="1" thickBot="1" x14ac:dyDescent="0.3">
      <c r="N451" s="11"/>
    </row>
    <row r="452" spans="14:14" ht="15.75" customHeight="1" thickBot="1" x14ac:dyDescent="0.3">
      <c r="N452" s="11"/>
    </row>
    <row r="453" spans="14:14" ht="15.75" customHeight="1" thickBot="1" x14ac:dyDescent="0.3">
      <c r="N453" s="11"/>
    </row>
    <row r="454" spans="14:14" ht="15.75" customHeight="1" thickBot="1" x14ac:dyDescent="0.3">
      <c r="N454" s="11"/>
    </row>
    <row r="455" spans="14:14" ht="15.75" customHeight="1" thickBot="1" x14ac:dyDescent="0.3">
      <c r="N455" s="11"/>
    </row>
    <row r="456" spans="14:14" ht="15.75" customHeight="1" thickBot="1" x14ac:dyDescent="0.3">
      <c r="N456" s="11"/>
    </row>
    <row r="457" spans="14:14" ht="15.75" customHeight="1" thickBot="1" x14ac:dyDescent="0.3">
      <c r="N457" s="11"/>
    </row>
    <row r="458" spans="14:14" ht="15.75" customHeight="1" thickBot="1" x14ac:dyDescent="0.3">
      <c r="N458" s="11"/>
    </row>
    <row r="459" spans="14:14" ht="15.75" customHeight="1" thickBot="1" x14ac:dyDescent="0.3">
      <c r="N459" s="11"/>
    </row>
    <row r="460" spans="14:14" ht="15.75" customHeight="1" thickBot="1" x14ac:dyDescent="0.3">
      <c r="N460" s="11"/>
    </row>
    <row r="461" spans="14:14" ht="15.75" customHeight="1" thickBot="1" x14ac:dyDescent="0.3">
      <c r="N461" s="11"/>
    </row>
    <row r="462" spans="14:14" ht="15.75" customHeight="1" thickBot="1" x14ac:dyDescent="0.3">
      <c r="N462" s="11"/>
    </row>
    <row r="463" spans="14:14" ht="15.75" customHeight="1" thickBot="1" x14ac:dyDescent="0.3">
      <c r="N463" s="11"/>
    </row>
    <row r="464" spans="14:14" ht="15.75" customHeight="1" thickBot="1" x14ac:dyDescent="0.3">
      <c r="N464" s="11"/>
    </row>
    <row r="465" spans="14:14" ht="15.75" customHeight="1" thickBot="1" x14ac:dyDescent="0.3">
      <c r="N465" s="11"/>
    </row>
    <row r="466" spans="14:14" ht="15.75" customHeight="1" thickBot="1" x14ac:dyDescent="0.3">
      <c r="N466" s="11"/>
    </row>
    <row r="467" spans="14:14" ht="15.75" customHeight="1" thickBot="1" x14ac:dyDescent="0.3">
      <c r="N467" s="11"/>
    </row>
    <row r="468" spans="14:14" ht="15.75" customHeight="1" thickBot="1" x14ac:dyDescent="0.3">
      <c r="N468" s="11"/>
    </row>
    <row r="469" spans="14:14" ht="15.75" customHeight="1" thickBot="1" x14ac:dyDescent="0.3">
      <c r="N469" s="11"/>
    </row>
    <row r="470" spans="14:14" ht="15.75" customHeight="1" thickBot="1" x14ac:dyDescent="0.3">
      <c r="N470" s="11"/>
    </row>
    <row r="471" spans="14:14" ht="15.75" customHeight="1" thickBot="1" x14ac:dyDescent="0.3">
      <c r="N471" s="11"/>
    </row>
    <row r="472" spans="14:14" ht="15.75" customHeight="1" thickBot="1" x14ac:dyDescent="0.3">
      <c r="N472" s="11"/>
    </row>
    <row r="473" spans="14:14" ht="15.75" customHeight="1" thickBot="1" x14ac:dyDescent="0.3">
      <c r="N473" s="11"/>
    </row>
    <row r="474" spans="14:14" ht="15.75" customHeight="1" thickBot="1" x14ac:dyDescent="0.3">
      <c r="N474" s="11"/>
    </row>
    <row r="475" spans="14:14" ht="15.75" customHeight="1" thickBot="1" x14ac:dyDescent="0.3">
      <c r="N475" s="11"/>
    </row>
    <row r="476" spans="14:14" ht="15.75" customHeight="1" thickBot="1" x14ac:dyDescent="0.3">
      <c r="N476" s="11"/>
    </row>
    <row r="477" spans="14:14" ht="15.75" customHeight="1" thickBot="1" x14ac:dyDescent="0.3">
      <c r="N477" s="11"/>
    </row>
    <row r="478" spans="14:14" ht="15.75" customHeight="1" thickBot="1" x14ac:dyDescent="0.3">
      <c r="N478" s="11"/>
    </row>
    <row r="479" spans="14:14" ht="15.75" customHeight="1" thickBot="1" x14ac:dyDescent="0.3">
      <c r="N479" s="11"/>
    </row>
    <row r="480" spans="14:14" ht="15.75" customHeight="1" thickBot="1" x14ac:dyDescent="0.3">
      <c r="N480" s="11"/>
    </row>
    <row r="481" spans="14:14" ht="15.75" customHeight="1" thickBot="1" x14ac:dyDescent="0.3">
      <c r="N481" s="11"/>
    </row>
    <row r="482" spans="14:14" ht="15.75" customHeight="1" thickBot="1" x14ac:dyDescent="0.3">
      <c r="N482" s="11"/>
    </row>
    <row r="483" spans="14:14" ht="15.75" customHeight="1" thickBot="1" x14ac:dyDescent="0.3">
      <c r="N483" s="11"/>
    </row>
    <row r="484" spans="14:14" ht="15.75" customHeight="1" thickBot="1" x14ac:dyDescent="0.3">
      <c r="N484" s="11"/>
    </row>
    <row r="485" spans="14:14" ht="15.75" customHeight="1" thickBot="1" x14ac:dyDescent="0.3">
      <c r="N485" s="11"/>
    </row>
    <row r="486" spans="14:14" ht="15.75" customHeight="1" thickBot="1" x14ac:dyDescent="0.3">
      <c r="N486" s="11"/>
    </row>
    <row r="487" spans="14:14" ht="15.75" customHeight="1" thickBot="1" x14ac:dyDescent="0.3">
      <c r="N487" s="11"/>
    </row>
    <row r="488" spans="14:14" ht="15.75" customHeight="1" thickBot="1" x14ac:dyDescent="0.3">
      <c r="N488" s="11"/>
    </row>
    <row r="489" spans="14:14" ht="15.75" customHeight="1" thickBot="1" x14ac:dyDescent="0.3">
      <c r="N489" s="11"/>
    </row>
    <row r="490" spans="14:14" ht="15.75" customHeight="1" thickBot="1" x14ac:dyDescent="0.3">
      <c r="N490" s="11"/>
    </row>
    <row r="491" spans="14:14" ht="15.75" customHeight="1" thickBot="1" x14ac:dyDescent="0.3">
      <c r="N491" s="11"/>
    </row>
    <row r="492" spans="14:14" ht="15.75" customHeight="1" thickBot="1" x14ac:dyDescent="0.3">
      <c r="N492" s="11"/>
    </row>
    <row r="493" spans="14:14" ht="15.75" customHeight="1" thickBot="1" x14ac:dyDescent="0.3">
      <c r="N493" s="11"/>
    </row>
    <row r="494" spans="14:14" ht="15.75" customHeight="1" thickBot="1" x14ac:dyDescent="0.3">
      <c r="N494" s="11"/>
    </row>
    <row r="495" spans="14:14" ht="15.75" customHeight="1" thickBot="1" x14ac:dyDescent="0.3">
      <c r="N495" s="11"/>
    </row>
    <row r="496" spans="14:14" ht="15.75" customHeight="1" thickBot="1" x14ac:dyDescent="0.3">
      <c r="N496" s="11"/>
    </row>
    <row r="497" spans="14:14" ht="15.75" customHeight="1" thickBot="1" x14ac:dyDescent="0.3">
      <c r="N497" s="11"/>
    </row>
    <row r="498" spans="14:14" ht="15.75" customHeight="1" thickBot="1" x14ac:dyDescent="0.3">
      <c r="N498" s="11"/>
    </row>
    <row r="499" spans="14:14" ht="15.75" customHeight="1" thickBot="1" x14ac:dyDescent="0.3">
      <c r="N499" s="11"/>
    </row>
    <row r="500" spans="14:14" ht="15.75" customHeight="1" thickBot="1" x14ac:dyDescent="0.3">
      <c r="N500" s="11"/>
    </row>
    <row r="501" spans="14:14" ht="15.75" customHeight="1" thickBot="1" x14ac:dyDescent="0.3">
      <c r="N501" s="11"/>
    </row>
    <row r="502" spans="14:14" ht="15.75" customHeight="1" thickBot="1" x14ac:dyDescent="0.3">
      <c r="N502" s="11"/>
    </row>
    <row r="503" spans="14:14" ht="15.75" customHeight="1" thickBot="1" x14ac:dyDescent="0.3">
      <c r="N503" s="11"/>
    </row>
    <row r="504" spans="14:14" ht="15.75" customHeight="1" thickBot="1" x14ac:dyDescent="0.3">
      <c r="N504" s="11"/>
    </row>
    <row r="505" spans="14:14" ht="15.75" customHeight="1" thickBot="1" x14ac:dyDescent="0.3">
      <c r="N505" s="11"/>
    </row>
    <row r="506" spans="14:14" ht="15.75" customHeight="1" thickBot="1" x14ac:dyDescent="0.3">
      <c r="N506" s="11"/>
    </row>
    <row r="507" spans="14:14" ht="15.75" customHeight="1" thickBot="1" x14ac:dyDescent="0.3">
      <c r="N507" s="11"/>
    </row>
    <row r="508" spans="14:14" ht="15.75" customHeight="1" thickBot="1" x14ac:dyDescent="0.3">
      <c r="N508" s="11"/>
    </row>
    <row r="509" spans="14:14" ht="15.75" customHeight="1" thickBot="1" x14ac:dyDescent="0.3">
      <c r="N509" s="11"/>
    </row>
    <row r="510" spans="14:14" ht="15.75" customHeight="1" thickBot="1" x14ac:dyDescent="0.3">
      <c r="N510" s="11"/>
    </row>
    <row r="511" spans="14:14" ht="15.75" customHeight="1" thickBot="1" x14ac:dyDescent="0.3">
      <c r="N511" s="11"/>
    </row>
    <row r="512" spans="14:14" ht="15.75" customHeight="1" thickBot="1" x14ac:dyDescent="0.3">
      <c r="N512" s="11"/>
    </row>
    <row r="513" spans="14:14" ht="15.75" customHeight="1" thickBot="1" x14ac:dyDescent="0.3">
      <c r="N513" s="11"/>
    </row>
    <row r="514" spans="14:14" ht="15.75" customHeight="1" thickBot="1" x14ac:dyDescent="0.3">
      <c r="N514" s="11"/>
    </row>
    <row r="515" spans="14:14" ht="15.75" customHeight="1" thickBot="1" x14ac:dyDescent="0.3">
      <c r="N515" s="11"/>
    </row>
    <row r="516" spans="14:14" ht="15.75" customHeight="1" thickBot="1" x14ac:dyDescent="0.3">
      <c r="N516" s="11"/>
    </row>
    <row r="517" spans="14:14" ht="15.75" customHeight="1" thickBot="1" x14ac:dyDescent="0.3">
      <c r="N517" s="11"/>
    </row>
    <row r="518" spans="14:14" ht="15.75" customHeight="1" thickBot="1" x14ac:dyDescent="0.3">
      <c r="N518" s="11"/>
    </row>
    <row r="519" spans="14:14" ht="15.75" customHeight="1" thickBot="1" x14ac:dyDescent="0.3">
      <c r="N519" s="11"/>
    </row>
    <row r="520" spans="14:14" ht="15.75" customHeight="1" thickBot="1" x14ac:dyDescent="0.3">
      <c r="N520" s="11"/>
    </row>
    <row r="521" spans="14:14" ht="15.75" customHeight="1" thickBot="1" x14ac:dyDescent="0.3">
      <c r="N521" s="11"/>
    </row>
    <row r="522" spans="14:14" ht="15.75" customHeight="1" thickBot="1" x14ac:dyDescent="0.3">
      <c r="N522" s="11"/>
    </row>
    <row r="523" spans="14:14" ht="15.75" customHeight="1" thickBot="1" x14ac:dyDescent="0.3">
      <c r="N523" s="11"/>
    </row>
    <row r="524" spans="14:14" ht="15.75" customHeight="1" thickBot="1" x14ac:dyDescent="0.3">
      <c r="N524" s="11"/>
    </row>
    <row r="525" spans="14:14" ht="15.75" customHeight="1" thickBot="1" x14ac:dyDescent="0.3">
      <c r="N525" s="11"/>
    </row>
    <row r="526" spans="14:14" ht="15.75" customHeight="1" thickBot="1" x14ac:dyDescent="0.3">
      <c r="N526" s="11"/>
    </row>
    <row r="527" spans="14:14" ht="15.75" customHeight="1" thickBot="1" x14ac:dyDescent="0.3">
      <c r="N527" s="11"/>
    </row>
    <row r="528" spans="14:14" ht="15.75" customHeight="1" thickBot="1" x14ac:dyDescent="0.3">
      <c r="N528" s="11"/>
    </row>
    <row r="529" spans="14:14" ht="15.75" customHeight="1" thickBot="1" x14ac:dyDescent="0.3">
      <c r="N529" s="11"/>
    </row>
    <row r="530" spans="14:14" ht="15.75" customHeight="1" thickBot="1" x14ac:dyDescent="0.3">
      <c r="N530" s="11"/>
    </row>
    <row r="531" spans="14:14" ht="15.75" customHeight="1" thickBot="1" x14ac:dyDescent="0.3">
      <c r="N531" s="11"/>
    </row>
    <row r="532" spans="14:14" ht="15.75" customHeight="1" thickBot="1" x14ac:dyDescent="0.3">
      <c r="N532" s="11"/>
    </row>
    <row r="533" spans="14:14" ht="15.75" customHeight="1" thickBot="1" x14ac:dyDescent="0.3">
      <c r="N533" s="11"/>
    </row>
    <row r="534" spans="14:14" ht="15.75" customHeight="1" thickBot="1" x14ac:dyDescent="0.3">
      <c r="N534" s="11"/>
    </row>
    <row r="535" spans="14:14" ht="15.75" customHeight="1" thickBot="1" x14ac:dyDescent="0.3">
      <c r="N535" s="11"/>
    </row>
    <row r="536" spans="14:14" ht="15.75" customHeight="1" thickBot="1" x14ac:dyDescent="0.3">
      <c r="N536" s="11"/>
    </row>
    <row r="537" spans="14:14" ht="15.75" customHeight="1" thickBot="1" x14ac:dyDescent="0.3">
      <c r="N537" s="11"/>
    </row>
    <row r="538" spans="14:14" ht="15.75" customHeight="1" thickBot="1" x14ac:dyDescent="0.3">
      <c r="N538" s="11"/>
    </row>
    <row r="539" spans="14:14" ht="15.75" customHeight="1" thickBot="1" x14ac:dyDescent="0.3">
      <c r="N539" s="11"/>
    </row>
    <row r="540" spans="14:14" ht="15.75" customHeight="1" thickBot="1" x14ac:dyDescent="0.3">
      <c r="N540" s="11"/>
    </row>
    <row r="541" spans="14:14" ht="15.75" customHeight="1" thickBot="1" x14ac:dyDescent="0.3">
      <c r="N541" s="11"/>
    </row>
    <row r="542" spans="14:14" ht="15.75" customHeight="1" thickBot="1" x14ac:dyDescent="0.3">
      <c r="N542" s="11"/>
    </row>
    <row r="543" spans="14:14" ht="15.75" customHeight="1" thickBot="1" x14ac:dyDescent="0.3">
      <c r="N543" s="11"/>
    </row>
    <row r="544" spans="14:14" ht="15.75" customHeight="1" thickBot="1" x14ac:dyDescent="0.3">
      <c r="N544" s="11"/>
    </row>
    <row r="545" spans="14:14" ht="15.75" customHeight="1" thickBot="1" x14ac:dyDescent="0.3">
      <c r="N545" s="11"/>
    </row>
    <row r="546" spans="14:14" ht="15.75" customHeight="1" thickBot="1" x14ac:dyDescent="0.3">
      <c r="N546" s="11"/>
    </row>
    <row r="547" spans="14:14" ht="15.75" customHeight="1" thickBot="1" x14ac:dyDescent="0.3">
      <c r="N547" s="11"/>
    </row>
    <row r="548" spans="14:14" ht="15.75" customHeight="1" thickBot="1" x14ac:dyDescent="0.3">
      <c r="N548" s="11"/>
    </row>
    <row r="549" spans="14:14" ht="15.75" customHeight="1" thickBot="1" x14ac:dyDescent="0.3">
      <c r="N549" s="11"/>
    </row>
    <row r="550" spans="14:14" ht="15.75" customHeight="1" thickBot="1" x14ac:dyDescent="0.3">
      <c r="N550" s="11"/>
    </row>
    <row r="551" spans="14:14" ht="15.75" customHeight="1" thickBot="1" x14ac:dyDescent="0.3">
      <c r="N551" s="11"/>
    </row>
    <row r="552" spans="14:14" ht="15.75" customHeight="1" thickBot="1" x14ac:dyDescent="0.3">
      <c r="N552" s="11"/>
    </row>
    <row r="553" spans="14:14" ht="15.75" customHeight="1" thickBot="1" x14ac:dyDescent="0.3">
      <c r="N553" s="11"/>
    </row>
    <row r="554" spans="14:14" ht="15.75" customHeight="1" thickBot="1" x14ac:dyDescent="0.3">
      <c r="N554" s="11"/>
    </row>
    <row r="555" spans="14:14" ht="15.75" customHeight="1" thickBot="1" x14ac:dyDescent="0.3">
      <c r="N555" s="11"/>
    </row>
    <row r="556" spans="14:14" ht="15.75" customHeight="1" thickBot="1" x14ac:dyDescent="0.3">
      <c r="N556" s="11"/>
    </row>
    <row r="557" spans="14:14" ht="15.75" customHeight="1" thickBot="1" x14ac:dyDescent="0.3">
      <c r="N557" s="11"/>
    </row>
    <row r="558" spans="14:14" ht="15.75" customHeight="1" thickBot="1" x14ac:dyDescent="0.3">
      <c r="N558" s="11"/>
    </row>
    <row r="559" spans="14:14" ht="15.75" customHeight="1" thickBot="1" x14ac:dyDescent="0.3">
      <c r="N559" s="11"/>
    </row>
    <row r="560" spans="14:14" ht="15.75" customHeight="1" thickBot="1" x14ac:dyDescent="0.3">
      <c r="N560" s="11"/>
    </row>
    <row r="561" spans="14:14" ht="15.75" customHeight="1" thickBot="1" x14ac:dyDescent="0.3">
      <c r="N561" s="11"/>
    </row>
    <row r="562" spans="14:14" ht="15.75" customHeight="1" thickBot="1" x14ac:dyDescent="0.3">
      <c r="N562" s="11"/>
    </row>
    <row r="563" spans="14:14" ht="15.75" customHeight="1" thickBot="1" x14ac:dyDescent="0.3">
      <c r="N563" s="11"/>
    </row>
    <row r="564" spans="14:14" ht="15.75" customHeight="1" thickBot="1" x14ac:dyDescent="0.3">
      <c r="N564" s="11"/>
    </row>
    <row r="565" spans="14:14" ht="15.75" customHeight="1" thickBot="1" x14ac:dyDescent="0.3">
      <c r="N565" s="11"/>
    </row>
    <row r="566" spans="14:14" ht="15.75" customHeight="1" thickBot="1" x14ac:dyDescent="0.3">
      <c r="N566" s="11"/>
    </row>
    <row r="567" spans="14:14" ht="15.75" customHeight="1" thickBot="1" x14ac:dyDescent="0.3">
      <c r="N567" s="11"/>
    </row>
    <row r="568" spans="14:14" ht="15.75" customHeight="1" thickBot="1" x14ac:dyDescent="0.3">
      <c r="N568" s="11"/>
    </row>
    <row r="569" spans="14:14" ht="15.75" customHeight="1" thickBot="1" x14ac:dyDescent="0.3">
      <c r="N569" s="11"/>
    </row>
    <row r="570" spans="14:14" ht="15.75" customHeight="1" thickBot="1" x14ac:dyDescent="0.3">
      <c r="N570" s="11"/>
    </row>
    <row r="571" spans="14:14" ht="15.75" customHeight="1" thickBot="1" x14ac:dyDescent="0.3">
      <c r="N571" s="11"/>
    </row>
    <row r="572" spans="14:14" ht="15.75" customHeight="1" thickBot="1" x14ac:dyDescent="0.3">
      <c r="N572" s="11"/>
    </row>
    <row r="573" spans="14:14" ht="15.75" customHeight="1" thickBot="1" x14ac:dyDescent="0.3">
      <c r="N573" s="11"/>
    </row>
    <row r="574" spans="14:14" ht="15.75" customHeight="1" thickBot="1" x14ac:dyDescent="0.3">
      <c r="N574" s="11"/>
    </row>
    <row r="575" spans="14:14" ht="15.75" customHeight="1" thickBot="1" x14ac:dyDescent="0.3">
      <c r="N575" s="11"/>
    </row>
    <row r="576" spans="14:14" ht="15.75" customHeight="1" thickBot="1" x14ac:dyDescent="0.3">
      <c r="N576" s="11"/>
    </row>
    <row r="577" spans="14:14" ht="15.75" customHeight="1" thickBot="1" x14ac:dyDescent="0.3">
      <c r="N577" s="11"/>
    </row>
    <row r="578" spans="14:14" ht="15.75" customHeight="1" thickBot="1" x14ac:dyDescent="0.3">
      <c r="N578" s="11"/>
    </row>
    <row r="579" spans="14:14" ht="15.75" customHeight="1" thickBot="1" x14ac:dyDescent="0.3">
      <c r="N579" s="11"/>
    </row>
    <row r="580" spans="14:14" ht="15.75" customHeight="1" thickBot="1" x14ac:dyDescent="0.3">
      <c r="N580" s="11"/>
    </row>
    <row r="581" spans="14:14" ht="15.75" customHeight="1" thickBot="1" x14ac:dyDescent="0.3">
      <c r="N581" s="11"/>
    </row>
    <row r="582" spans="14:14" ht="15.75" customHeight="1" thickBot="1" x14ac:dyDescent="0.3">
      <c r="N582" s="11"/>
    </row>
    <row r="583" spans="14:14" ht="15.75" customHeight="1" thickBot="1" x14ac:dyDescent="0.3">
      <c r="N583" s="11"/>
    </row>
    <row r="584" spans="14:14" ht="15.75" customHeight="1" thickBot="1" x14ac:dyDescent="0.3">
      <c r="N584" s="11"/>
    </row>
    <row r="585" spans="14:14" ht="15.75" customHeight="1" thickBot="1" x14ac:dyDescent="0.3">
      <c r="N585" s="11"/>
    </row>
    <row r="586" spans="14:14" ht="15.75" customHeight="1" thickBot="1" x14ac:dyDescent="0.3">
      <c r="N586" s="11"/>
    </row>
    <row r="587" spans="14:14" ht="15.75" customHeight="1" thickBot="1" x14ac:dyDescent="0.3">
      <c r="N587" s="11"/>
    </row>
    <row r="588" spans="14:14" ht="15.75" customHeight="1" thickBot="1" x14ac:dyDescent="0.3">
      <c r="N588" s="11"/>
    </row>
    <row r="589" spans="14:14" ht="15.75" customHeight="1" thickBot="1" x14ac:dyDescent="0.3">
      <c r="N589" s="11"/>
    </row>
    <row r="590" spans="14:14" ht="15.75" customHeight="1" thickBot="1" x14ac:dyDescent="0.3">
      <c r="N590" s="11"/>
    </row>
    <row r="591" spans="14:14" ht="15.75" customHeight="1" thickBot="1" x14ac:dyDescent="0.3">
      <c r="N591" s="11"/>
    </row>
    <row r="592" spans="14:14" ht="15.75" customHeight="1" thickBot="1" x14ac:dyDescent="0.3">
      <c r="N592" s="11"/>
    </row>
    <row r="593" spans="14:14" ht="15.75" customHeight="1" thickBot="1" x14ac:dyDescent="0.3">
      <c r="N593" s="11"/>
    </row>
    <row r="594" spans="14:14" ht="15.75" customHeight="1" thickBot="1" x14ac:dyDescent="0.3">
      <c r="N594" s="11"/>
    </row>
    <row r="595" spans="14:14" ht="15.75" customHeight="1" thickBot="1" x14ac:dyDescent="0.3">
      <c r="N595" s="11"/>
    </row>
    <row r="596" spans="14:14" ht="15.75" customHeight="1" thickBot="1" x14ac:dyDescent="0.3">
      <c r="N596" s="11"/>
    </row>
    <row r="597" spans="14:14" ht="15.75" customHeight="1" thickBot="1" x14ac:dyDescent="0.3">
      <c r="N597" s="11"/>
    </row>
    <row r="598" spans="14:14" ht="15.75" customHeight="1" thickBot="1" x14ac:dyDescent="0.3">
      <c r="N598" s="11"/>
    </row>
    <row r="599" spans="14:14" ht="15.75" customHeight="1" thickBot="1" x14ac:dyDescent="0.3">
      <c r="N599" s="11"/>
    </row>
    <row r="600" spans="14:14" ht="15.75" customHeight="1" thickBot="1" x14ac:dyDescent="0.3">
      <c r="N600" s="11"/>
    </row>
    <row r="601" spans="14:14" ht="15.75" customHeight="1" thickBot="1" x14ac:dyDescent="0.3">
      <c r="N601" s="11"/>
    </row>
    <row r="602" spans="14:14" ht="15.75" customHeight="1" thickBot="1" x14ac:dyDescent="0.3">
      <c r="N602" s="11"/>
    </row>
    <row r="603" spans="14:14" ht="15.75" customHeight="1" thickBot="1" x14ac:dyDescent="0.3">
      <c r="N603" s="11"/>
    </row>
    <row r="604" spans="14:14" ht="15.75" customHeight="1" thickBot="1" x14ac:dyDescent="0.3">
      <c r="N604" s="11"/>
    </row>
    <row r="605" spans="14:14" ht="15.75" customHeight="1" thickBot="1" x14ac:dyDescent="0.3">
      <c r="N605" s="11"/>
    </row>
    <row r="606" spans="14:14" ht="15.75" customHeight="1" thickBot="1" x14ac:dyDescent="0.3">
      <c r="N606" s="11"/>
    </row>
    <row r="607" spans="14:14" ht="15.75" customHeight="1" thickBot="1" x14ac:dyDescent="0.3">
      <c r="N607" s="11"/>
    </row>
    <row r="608" spans="14:14" ht="15.75" customHeight="1" thickBot="1" x14ac:dyDescent="0.3">
      <c r="N608" s="11"/>
    </row>
    <row r="609" spans="14:14" ht="15.75" customHeight="1" thickBot="1" x14ac:dyDescent="0.3">
      <c r="N609" s="11"/>
    </row>
    <row r="610" spans="14:14" ht="15.75" customHeight="1" thickBot="1" x14ac:dyDescent="0.3">
      <c r="N610" s="11"/>
    </row>
    <row r="611" spans="14:14" ht="15.75" customHeight="1" thickBot="1" x14ac:dyDescent="0.3">
      <c r="N611" s="11"/>
    </row>
    <row r="612" spans="14:14" ht="15.75" customHeight="1" thickBot="1" x14ac:dyDescent="0.3">
      <c r="N612" s="11"/>
    </row>
    <row r="613" spans="14:14" ht="15.75" customHeight="1" thickBot="1" x14ac:dyDescent="0.3">
      <c r="N613" s="11"/>
    </row>
    <row r="614" spans="14:14" ht="15.75" customHeight="1" thickBot="1" x14ac:dyDescent="0.3">
      <c r="N614" s="11"/>
    </row>
    <row r="615" spans="14:14" ht="15.75" customHeight="1" thickBot="1" x14ac:dyDescent="0.3">
      <c r="N615" s="11"/>
    </row>
    <row r="616" spans="14:14" ht="15.75" customHeight="1" thickBot="1" x14ac:dyDescent="0.3">
      <c r="N616" s="11"/>
    </row>
    <row r="617" spans="14:14" ht="15.75" customHeight="1" thickBot="1" x14ac:dyDescent="0.3">
      <c r="N617" s="11"/>
    </row>
    <row r="618" spans="14:14" ht="15.75" customHeight="1" thickBot="1" x14ac:dyDescent="0.3">
      <c r="N618" s="11"/>
    </row>
    <row r="619" spans="14:14" ht="15.75" customHeight="1" thickBot="1" x14ac:dyDescent="0.3">
      <c r="N619" s="11"/>
    </row>
    <row r="620" spans="14:14" ht="15.75" customHeight="1" thickBot="1" x14ac:dyDescent="0.3">
      <c r="N620" s="11"/>
    </row>
    <row r="621" spans="14:14" ht="15.75" customHeight="1" thickBot="1" x14ac:dyDescent="0.3">
      <c r="N621" s="11"/>
    </row>
    <row r="622" spans="14:14" ht="15.75" customHeight="1" thickBot="1" x14ac:dyDescent="0.3">
      <c r="N622" s="11"/>
    </row>
    <row r="623" spans="14:14" ht="15.75" customHeight="1" thickBot="1" x14ac:dyDescent="0.3">
      <c r="N623" s="11"/>
    </row>
    <row r="624" spans="14:14" ht="15.75" customHeight="1" thickBot="1" x14ac:dyDescent="0.3">
      <c r="N624" s="11"/>
    </row>
    <row r="625" spans="14:14" ht="15.75" customHeight="1" thickBot="1" x14ac:dyDescent="0.3">
      <c r="N625" s="11"/>
    </row>
    <row r="626" spans="14:14" ht="15.75" customHeight="1" thickBot="1" x14ac:dyDescent="0.3">
      <c r="N626" s="11"/>
    </row>
    <row r="627" spans="14:14" ht="15.75" customHeight="1" thickBot="1" x14ac:dyDescent="0.3">
      <c r="N627" s="11"/>
    </row>
    <row r="628" spans="14:14" ht="15.75" customHeight="1" thickBot="1" x14ac:dyDescent="0.3">
      <c r="N628" s="11"/>
    </row>
    <row r="629" spans="14:14" ht="15.75" customHeight="1" thickBot="1" x14ac:dyDescent="0.3">
      <c r="N629" s="11"/>
    </row>
    <row r="630" spans="14:14" ht="15.75" customHeight="1" thickBot="1" x14ac:dyDescent="0.3">
      <c r="N630" s="11"/>
    </row>
    <row r="631" spans="14:14" ht="15.75" customHeight="1" thickBot="1" x14ac:dyDescent="0.3">
      <c r="N631" s="11"/>
    </row>
    <row r="632" spans="14:14" ht="15.75" customHeight="1" thickBot="1" x14ac:dyDescent="0.3">
      <c r="N632" s="11"/>
    </row>
    <row r="633" spans="14:14" ht="15.75" customHeight="1" thickBot="1" x14ac:dyDescent="0.3">
      <c r="N633" s="11"/>
    </row>
    <row r="634" spans="14:14" ht="15.75" customHeight="1" thickBot="1" x14ac:dyDescent="0.3">
      <c r="N634" s="11"/>
    </row>
    <row r="635" spans="14:14" ht="15.75" customHeight="1" thickBot="1" x14ac:dyDescent="0.3">
      <c r="N635" s="11"/>
    </row>
    <row r="636" spans="14:14" ht="15.75" customHeight="1" thickBot="1" x14ac:dyDescent="0.3">
      <c r="N636" s="11"/>
    </row>
    <row r="637" spans="14:14" ht="15.75" customHeight="1" thickBot="1" x14ac:dyDescent="0.3">
      <c r="N637" s="11"/>
    </row>
    <row r="638" spans="14:14" ht="15.75" customHeight="1" thickBot="1" x14ac:dyDescent="0.3">
      <c r="N638" s="11"/>
    </row>
    <row r="639" spans="14:14" ht="15.75" customHeight="1" thickBot="1" x14ac:dyDescent="0.3">
      <c r="N639" s="11"/>
    </row>
    <row r="640" spans="14:14" ht="15.75" customHeight="1" thickBot="1" x14ac:dyDescent="0.3">
      <c r="N640" s="11"/>
    </row>
    <row r="641" spans="14:14" ht="15.75" customHeight="1" thickBot="1" x14ac:dyDescent="0.3">
      <c r="N641" s="11"/>
    </row>
    <row r="642" spans="14:14" ht="15.75" customHeight="1" thickBot="1" x14ac:dyDescent="0.3">
      <c r="N642" s="11"/>
    </row>
    <row r="643" spans="14:14" ht="15.75" customHeight="1" thickBot="1" x14ac:dyDescent="0.3">
      <c r="N643" s="11"/>
    </row>
    <row r="644" spans="14:14" ht="15.75" customHeight="1" thickBot="1" x14ac:dyDescent="0.3">
      <c r="N644" s="11"/>
    </row>
    <row r="645" spans="14:14" ht="15.75" customHeight="1" thickBot="1" x14ac:dyDescent="0.3">
      <c r="N645" s="11"/>
    </row>
    <row r="646" spans="14:14" ht="15.75" customHeight="1" thickBot="1" x14ac:dyDescent="0.3">
      <c r="N646" s="11"/>
    </row>
    <row r="647" spans="14:14" ht="15.75" customHeight="1" thickBot="1" x14ac:dyDescent="0.3">
      <c r="N647" s="11"/>
    </row>
    <row r="648" spans="14:14" ht="15.75" customHeight="1" thickBot="1" x14ac:dyDescent="0.3">
      <c r="N648" s="11"/>
    </row>
    <row r="649" spans="14:14" ht="15.75" customHeight="1" thickBot="1" x14ac:dyDescent="0.3">
      <c r="N649" s="11"/>
    </row>
    <row r="650" spans="14:14" ht="15.75" customHeight="1" thickBot="1" x14ac:dyDescent="0.3">
      <c r="N650" s="11"/>
    </row>
    <row r="651" spans="14:14" ht="15.75" customHeight="1" thickBot="1" x14ac:dyDescent="0.3">
      <c r="N651" s="11"/>
    </row>
    <row r="652" spans="14:14" ht="15.75" customHeight="1" thickBot="1" x14ac:dyDescent="0.3">
      <c r="N652" s="11"/>
    </row>
    <row r="653" spans="14:14" ht="15.75" customHeight="1" thickBot="1" x14ac:dyDescent="0.3">
      <c r="N653" s="11"/>
    </row>
    <row r="654" spans="14:14" ht="15.75" customHeight="1" thickBot="1" x14ac:dyDescent="0.3">
      <c r="N654" s="11"/>
    </row>
    <row r="655" spans="14:14" ht="15.75" customHeight="1" thickBot="1" x14ac:dyDescent="0.3">
      <c r="N655" s="11"/>
    </row>
    <row r="656" spans="14:14" ht="15.75" customHeight="1" thickBot="1" x14ac:dyDescent="0.3">
      <c r="N656" s="11"/>
    </row>
    <row r="657" spans="14:14" ht="15.75" customHeight="1" thickBot="1" x14ac:dyDescent="0.3">
      <c r="N657" s="11"/>
    </row>
    <row r="658" spans="14:14" ht="15.75" customHeight="1" thickBot="1" x14ac:dyDescent="0.3">
      <c r="N658" s="11"/>
    </row>
    <row r="659" spans="14:14" ht="15.75" customHeight="1" thickBot="1" x14ac:dyDescent="0.3">
      <c r="N659" s="11"/>
    </row>
    <row r="660" spans="14:14" ht="15.75" customHeight="1" thickBot="1" x14ac:dyDescent="0.3">
      <c r="N660" s="11"/>
    </row>
    <row r="661" spans="14:14" ht="15.75" customHeight="1" thickBot="1" x14ac:dyDescent="0.3">
      <c r="N661" s="11"/>
    </row>
    <row r="662" spans="14:14" ht="15.75" customHeight="1" thickBot="1" x14ac:dyDescent="0.3">
      <c r="N662" s="11"/>
    </row>
    <row r="663" spans="14:14" ht="15.75" customHeight="1" thickBot="1" x14ac:dyDescent="0.3">
      <c r="N663" s="11"/>
    </row>
    <row r="664" spans="14:14" ht="15.75" customHeight="1" thickBot="1" x14ac:dyDescent="0.3">
      <c r="N664" s="11"/>
    </row>
    <row r="665" spans="14:14" ht="15.75" customHeight="1" thickBot="1" x14ac:dyDescent="0.3">
      <c r="N665" s="11"/>
    </row>
    <row r="666" spans="14:14" ht="15.75" customHeight="1" thickBot="1" x14ac:dyDescent="0.3">
      <c r="N666" s="11"/>
    </row>
    <row r="667" spans="14:14" ht="15.75" customHeight="1" thickBot="1" x14ac:dyDescent="0.3">
      <c r="N667" s="11"/>
    </row>
    <row r="668" spans="14:14" ht="15.75" customHeight="1" thickBot="1" x14ac:dyDescent="0.3">
      <c r="N668" s="11"/>
    </row>
    <row r="669" spans="14:14" ht="15.75" customHeight="1" thickBot="1" x14ac:dyDescent="0.3">
      <c r="N669" s="11"/>
    </row>
    <row r="670" spans="14:14" ht="15.75" customHeight="1" thickBot="1" x14ac:dyDescent="0.3">
      <c r="N670" s="11"/>
    </row>
    <row r="671" spans="14:14" ht="15.75" customHeight="1" thickBot="1" x14ac:dyDescent="0.3">
      <c r="N671" s="11"/>
    </row>
    <row r="672" spans="14:14" ht="15.75" customHeight="1" thickBot="1" x14ac:dyDescent="0.3">
      <c r="N672" s="11"/>
    </row>
    <row r="673" spans="14:14" ht="15.75" customHeight="1" thickBot="1" x14ac:dyDescent="0.3">
      <c r="N673" s="11"/>
    </row>
    <row r="674" spans="14:14" ht="15.75" customHeight="1" thickBot="1" x14ac:dyDescent="0.3">
      <c r="N674" s="11"/>
    </row>
    <row r="675" spans="14:14" ht="15.75" customHeight="1" thickBot="1" x14ac:dyDescent="0.3">
      <c r="N675" s="11"/>
    </row>
    <row r="676" spans="14:14" ht="15.75" customHeight="1" thickBot="1" x14ac:dyDescent="0.3">
      <c r="N676" s="11"/>
    </row>
    <row r="677" spans="14:14" ht="15.75" customHeight="1" thickBot="1" x14ac:dyDescent="0.3">
      <c r="N677" s="11"/>
    </row>
    <row r="678" spans="14:14" ht="15.75" customHeight="1" thickBot="1" x14ac:dyDescent="0.3">
      <c r="N678" s="11"/>
    </row>
    <row r="679" spans="14:14" ht="15.75" customHeight="1" thickBot="1" x14ac:dyDescent="0.3">
      <c r="N679" s="11"/>
    </row>
    <row r="680" spans="14:14" ht="15.75" customHeight="1" thickBot="1" x14ac:dyDescent="0.3">
      <c r="N680" s="11"/>
    </row>
    <row r="681" spans="14:14" ht="15.75" customHeight="1" thickBot="1" x14ac:dyDescent="0.3">
      <c r="N681" s="11"/>
    </row>
    <row r="682" spans="14:14" ht="15.75" customHeight="1" thickBot="1" x14ac:dyDescent="0.3">
      <c r="N682" s="11"/>
    </row>
    <row r="683" spans="14:14" ht="15.75" customHeight="1" thickBot="1" x14ac:dyDescent="0.3">
      <c r="N683" s="11"/>
    </row>
    <row r="684" spans="14:14" ht="15.75" customHeight="1" thickBot="1" x14ac:dyDescent="0.3">
      <c r="N684" s="11"/>
    </row>
    <row r="685" spans="14:14" ht="15.75" customHeight="1" thickBot="1" x14ac:dyDescent="0.3">
      <c r="N685" s="11"/>
    </row>
    <row r="686" spans="14:14" ht="15.75" customHeight="1" thickBot="1" x14ac:dyDescent="0.3">
      <c r="N686" s="11"/>
    </row>
    <row r="687" spans="14:14" ht="15.75" customHeight="1" thickBot="1" x14ac:dyDescent="0.3">
      <c r="N687" s="11"/>
    </row>
    <row r="688" spans="14:14" ht="15.75" customHeight="1" thickBot="1" x14ac:dyDescent="0.3">
      <c r="N688" s="11"/>
    </row>
    <row r="689" spans="14:14" ht="15.75" customHeight="1" thickBot="1" x14ac:dyDescent="0.3">
      <c r="N689" s="11"/>
    </row>
    <row r="690" spans="14:14" ht="15.75" customHeight="1" thickBot="1" x14ac:dyDescent="0.3">
      <c r="N690" s="11"/>
    </row>
    <row r="691" spans="14:14" ht="15.75" customHeight="1" thickBot="1" x14ac:dyDescent="0.3">
      <c r="N691" s="11"/>
    </row>
    <row r="692" spans="14:14" ht="15.75" customHeight="1" thickBot="1" x14ac:dyDescent="0.3">
      <c r="N692" s="11"/>
    </row>
    <row r="693" spans="14:14" ht="15.75" customHeight="1" thickBot="1" x14ac:dyDescent="0.3">
      <c r="N693" s="11"/>
    </row>
    <row r="694" spans="14:14" ht="15.75" customHeight="1" thickBot="1" x14ac:dyDescent="0.3">
      <c r="N694" s="11"/>
    </row>
    <row r="695" spans="14:14" ht="15.75" customHeight="1" thickBot="1" x14ac:dyDescent="0.3">
      <c r="N695" s="11"/>
    </row>
    <row r="696" spans="14:14" ht="15.75" customHeight="1" thickBot="1" x14ac:dyDescent="0.3">
      <c r="N696" s="11"/>
    </row>
    <row r="697" spans="14:14" ht="15.75" customHeight="1" thickBot="1" x14ac:dyDescent="0.3">
      <c r="N697" s="11"/>
    </row>
    <row r="698" spans="14:14" ht="15.75" customHeight="1" thickBot="1" x14ac:dyDescent="0.3">
      <c r="N698" s="11"/>
    </row>
    <row r="699" spans="14:14" ht="15.75" customHeight="1" thickBot="1" x14ac:dyDescent="0.3">
      <c r="N699" s="11"/>
    </row>
    <row r="700" spans="14:14" ht="15.75" customHeight="1" thickBot="1" x14ac:dyDescent="0.3">
      <c r="N700" s="11"/>
    </row>
    <row r="701" spans="14:14" ht="15.75" customHeight="1" thickBot="1" x14ac:dyDescent="0.3">
      <c r="N701" s="11"/>
    </row>
    <row r="702" spans="14:14" ht="15.75" customHeight="1" thickBot="1" x14ac:dyDescent="0.3">
      <c r="N702" s="11"/>
    </row>
    <row r="703" spans="14:14" ht="15.75" customHeight="1" thickBot="1" x14ac:dyDescent="0.3">
      <c r="N703" s="11"/>
    </row>
    <row r="704" spans="14:14" ht="15.75" customHeight="1" thickBot="1" x14ac:dyDescent="0.3">
      <c r="N704" s="11"/>
    </row>
    <row r="705" spans="14:14" ht="15.75" customHeight="1" thickBot="1" x14ac:dyDescent="0.3">
      <c r="N705" s="11"/>
    </row>
    <row r="706" spans="14:14" ht="15.75" customHeight="1" thickBot="1" x14ac:dyDescent="0.3">
      <c r="N706" s="11"/>
    </row>
    <row r="707" spans="14:14" ht="15.75" customHeight="1" thickBot="1" x14ac:dyDescent="0.3">
      <c r="N707" s="11"/>
    </row>
    <row r="708" spans="14:14" ht="15.75" customHeight="1" thickBot="1" x14ac:dyDescent="0.3">
      <c r="N708" s="11"/>
    </row>
    <row r="709" spans="14:14" ht="15.75" customHeight="1" thickBot="1" x14ac:dyDescent="0.3">
      <c r="N709" s="11"/>
    </row>
    <row r="710" spans="14:14" ht="15.75" customHeight="1" thickBot="1" x14ac:dyDescent="0.3">
      <c r="N710" s="11"/>
    </row>
    <row r="711" spans="14:14" ht="15.75" customHeight="1" thickBot="1" x14ac:dyDescent="0.3">
      <c r="N711" s="11"/>
    </row>
    <row r="712" spans="14:14" ht="15.75" customHeight="1" thickBot="1" x14ac:dyDescent="0.3">
      <c r="N712" s="11"/>
    </row>
    <row r="713" spans="14:14" ht="15.75" customHeight="1" thickBot="1" x14ac:dyDescent="0.3">
      <c r="N713" s="11"/>
    </row>
    <row r="714" spans="14:14" ht="15.75" customHeight="1" thickBot="1" x14ac:dyDescent="0.3">
      <c r="N714" s="11"/>
    </row>
    <row r="715" spans="14:14" ht="15.75" customHeight="1" thickBot="1" x14ac:dyDescent="0.3">
      <c r="N715" s="11"/>
    </row>
    <row r="716" spans="14:14" ht="15.75" customHeight="1" thickBot="1" x14ac:dyDescent="0.3">
      <c r="N716" s="11"/>
    </row>
    <row r="717" spans="14:14" ht="15.75" customHeight="1" thickBot="1" x14ac:dyDescent="0.3">
      <c r="N717" s="11"/>
    </row>
    <row r="718" spans="14:14" ht="15.75" customHeight="1" thickBot="1" x14ac:dyDescent="0.3">
      <c r="N718" s="11"/>
    </row>
    <row r="719" spans="14:14" ht="15.75" customHeight="1" thickBot="1" x14ac:dyDescent="0.3">
      <c r="N719" s="11"/>
    </row>
    <row r="720" spans="14:14" ht="15.75" customHeight="1" thickBot="1" x14ac:dyDescent="0.3">
      <c r="N720" s="11"/>
    </row>
    <row r="721" spans="14:14" ht="15.75" customHeight="1" thickBot="1" x14ac:dyDescent="0.3">
      <c r="N721" s="11"/>
    </row>
    <row r="722" spans="14:14" ht="15.75" customHeight="1" thickBot="1" x14ac:dyDescent="0.3">
      <c r="N722" s="11"/>
    </row>
    <row r="723" spans="14:14" ht="15.75" customHeight="1" thickBot="1" x14ac:dyDescent="0.3">
      <c r="N723" s="11"/>
    </row>
    <row r="724" spans="14:14" ht="15.75" customHeight="1" thickBot="1" x14ac:dyDescent="0.3">
      <c r="N724" s="11"/>
    </row>
    <row r="725" spans="14:14" ht="15.75" customHeight="1" thickBot="1" x14ac:dyDescent="0.3">
      <c r="N725" s="11"/>
    </row>
    <row r="726" spans="14:14" ht="15.75" customHeight="1" thickBot="1" x14ac:dyDescent="0.3">
      <c r="N726" s="11"/>
    </row>
    <row r="727" spans="14:14" ht="15.75" customHeight="1" thickBot="1" x14ac:dyDescent="0.3">
      <c r="N727" s="11"/>
    </row>
    <row r="728" spans="14:14" ht="15.75" customHeight="1" thickBot="1" x14ac:dyDescent="0.3">
      <c r="N728" s="11"/>
    </row>
    <row r="729" spans="14:14" ht="15.75" customHeight="1" thickBot="1" x14ac:dyDescent="0.3">
      <c r="N729" s="11"/>
    </row>
    <row r="730" spans="14:14" ht="15.75" customHeight="1" thickBot="1" x14ac:dyDescent="0.3">
      <c r="N730" s="11"/>
    </row>
    <row r="731" spans="14:14" ht="15.75" customHeight="1" thickBot="1" x14ac:dyDescent="0.3">
      <c r="N731" s="11"/>
    </row>
    <row r="732" spans="14:14" ht="15.75" customHeight="1" thickBot="1" x14ac:dyDescent="0.3">
      <c r="N732" s="11"/>
    </row>
    <row r="733" spans="14:14" ht="15.75" customHeight="1" thickBot="1" x14ac:dyDescent="0.3">
      <c r="N733" s="11"/>
    </row>
    <row r="734" spans="14:14" ht="15.75" customHeight="1" thickBot="1" x14ac:dyDescent="0.3">
      <c r="N734" s="11"/>
    </row>
    <row r="735" spans="14:14" ht="15.75" customHeight="1" thickBot="1" x14ac:dyDescent="0.3">
      <c r="N735" s="11"/>
    </row>
    <row r="736" spans="14:14" ht="15.75" customHeight="1" thickBot="1" x14ac:dyDescent="0.3">
      <c r="N736" s="11"/>
    </row>
    <row r="737" spans="14:14" ht="15.75" customHeight="1" thickBot="1" x14ac:dyDescent="0.3">
      <c r="N737" s="11"/>
    </row>
    <row r="738" spans="14:14" ht="15.75" customHeight="1" thickBot="1" x14ac:dyDescent="0.3">
      <c r="N738" s="11"/>
    </row>
    <row r="739" spans="14:14" ht="15.75" customHeight="1" thickBot="1" x14ac:dyDescent="0.3">
      <c r="N739" s="11"/>
    </row>
    <row r="740" spans="14:14" ht="15.75" customHeight="1" thickBot="1" x14ac:dyDescent="0.3">
      <c r="N740" s="11"/>
    </row>
    <row r="741" spans="14:14" ht="15.75" customHeight="1" thickBot="1" x14ac:dyDescent="0.3">
      <c r="N741" s="11"/>
    </row>
    <row r="742" spans="14:14" ht="15.75" customHeight="1" thickBot="1" x14ac:dyDescent="0.3">
      <c r="N742" s="11"/>
    </row>
    <row r="743" spans="14:14" ht="15.75" customHeight="1" thickBot="1" x14ac:dyDescent="0.3">
      <c r="N743" s="11"/>
    </row>
    <row r="744" spans="14:14" ht="15.75" customHeight="1" thickBot="1" x14ac:dyDescent="0.3">
      <c r="N744" s="11"/>
    </row>
    <row r="745" spans="14:14" ht="15.75" customHeight="1" thickBot="1" x14ac:dyDescent="0.3">
      <c r="N745" s="11"/>
    </row>
    <row r="746" spans="14:14" ht="15.75" customHeight="1" thickBot="1" x14ac:dyDescent="0.3">
      <c r="N746" s="11"/>
    </row>
    <row r="747" spans="14:14" ht="15.75" customHeight="1" thickBot="1" x14ac:dyDescent="0.3">
      <c r="N747" s="11"/>
    </row>
    <row r="748" spans="14:14" ht="15.75" customHeight="1" thickBot="1" x14ac:dyDescent="0.3">
      <c r="N748" s="11"/>
    </row>
    <row r="749" spans="14:14" ht="15.75" customHeight="1" thickBot="1" x14ac:dyDescent="0.3">
      <c r="N749" s="11"/>
    </row>
    <row r="750" spans="14:14" ht="15.75" customHeight="1" thickBot="1" x14ac:dyDescent="0.3">
      <c r="N750" s="11"/>
    </row>
    <row r="751" spans="14:14" ht="15.75" customHeight="1" thickBot="1" x14ac:dyDescent="0.3">
      <c r="N751" s="11"/>
    </row>
    <row r="752" spans="14:14" ht="15.75" customHeight="1" thickBot="1" x14ac:dyDescent="0.3">
      <c r="N752" s="11"/>
    </row>
    <row r="753" spans="14:14" ht="15.75" customHeight="1" thickBot="1" x14ac:dyDescent="0.3">
      <c r="N753" s="11"/>
    </row>
    <row r="754" spans="14:14" ht="15.75" customHeight="1" thickBot="1" x14ac:dyDescent="0.3">
      <c r="N754" s="11"/>
    </row>
    <row r="755" spans="14:14" ht="15.75" customHeight="1" thickBot="1" x14ac:dyDescent="0.3">
      <c r="N755" s="11"/>
    </row>
    <row r="756" spans="14:14" ht="15.75" customHeight="1" thickBot="1" x14ac:dyDescent="0.3">
      <c r="N756" s="11"/>
    </row>
    <row r="757" spans="14:14" ht="15.75" customHeight="1" thickBot="1" x14ac:dyDescent="0.3">
      <c r="N757" s="11"/>
    </row>
    <row r="758" spans="14:14" ht="15.75" customHeight="1" thickBot="1" x14ac:dyDescent="0.3">
      <c r="N758" s="11"/>
    </row>
    <row r="759" spans="14:14" ht="15.75" customHeight="1" thickBot="1" x14ac:dyDescent="0.3">
      <c r="N759" s="11"/>
    </row>
    <row r="760" spans="14:14" ht="15.75" customHeight="1" thickBot="1" x14ac:dyDescent="0.3">
      <c r="N760" s="11"/>
    </row>
    <row r="761" spans="14:14" ht="15.75" customHeight="1" thickBot="1" x14ac:dyDescent="0.3">
      <c r="N761" s="11"/>
    </row>
    <row r="762" spans="14:14" ht="15.75" customHeight="1" thickBot="1" x14ac:dyDescent="0.3">
      <c r="N762" s="11"/>
    </row>
    <row r="763" spans="14:14" ht="15.75" customHeight="1" thickBot="1" x14ac:dyDescent="0.3">
      <c r="N763" s="11"/>
    </row>
    <row r="764" spans="14:14" ht="15.75" customHeight="1" thickBot="1" x14ac:dyDescent="0.3">
      <c r="N764" s="11"/>
    </row>
    <row r="765" spans="14:14" ht="15.75" customHeight="1" thickBot="1" x14ac:dyDescent="0.3">
      <c r="N765" s="11"/>
    </row>
    <row r="766" spans="14:14" ht="15.75" customHeight="1" thickBot="1" x14ac:dyDescent="0.3">
      <c r="N766" s="11"/>
    </row>
    <row r="767" spans="14:14" ht="15.75" customHeight="1" thickBot="1" x14ac:dyDescent="0.3">
      <c r="N767" s="11"/>
    </row>
    <row r="768" spans="14:14" ht="15.75" customHeight="1" thickBot="1" x14ac:dyDescent="0.3">
      <c r="N768" s="11"/>
    </row>
    <row r="769" spans="14:14" ht="15.75" customHeight="1" thickBot="1" x14ac:dyDescent="0.3">
      <c r="N769" s="11"/>
    </row>
    <row r="770" spans="14:14" ht="15.75" customHeight="1" thickBot="1" x14ac:dyDescent="0.3">
      <c r="N770" s="11"/>
    </row>
    <row r="771" spans="14:14" ht="15.75" customHeight="1" thickBot="1" x14ac:dyDescent="0.3">
      <c r="N771" s="11"/>
    </row>
    <row r="772" spans="14:14" ht="15.75" customHeight="1" thickBot="1" x14ac:dyDescent="0.3">
      <c r="N772" s="11"/>
    </row>
    <row r="773" spans="14:14" ht="15.75" customHeight="1" thickBot="1" x14ac:dyDescent="0.3">
      <c r="N773" s="11"/>
    </row>
    <row r="774" spans="14:14" ht="15.75" customHeight="1" thickBot="1" x14ac:dyDescent="0.3">
      <c r="N774" s="11"/>
    </row>
    <row r="775" spans="14:14" ht="15.75" customHeight="1" thickBot="1" x14ac:dyDescent="0.3">
      <c r="N775" s="11"/>
    </row>
    <row r="776" spans="14:14" ht="15.75" customHeight="1" thickBot="1" x14ac:dyDescent="0.3">
      <c r="N776" s="11"/>
    </row>
    <row r="777" spans="14:14" ht="15.75" customHeight="1" thickBot="1" x14ac:dyDescent="0.3">
      <c r="N777" s="11"/>
    </row>
    <row r="778" spans="14:14" ht="15.75" customHeight="1" thickBot="1" x14ac:dyDescent="0.3">
      <c r="N778" s="11"/>
    </row>
    <row r="779" spans="14:14" ht="15.75" customHeight="1" thickBot="1" x14ac:dyDescent="0.3">
      <c r="N779" s="11"/>
    </row>
    <row r="780" spans="14:14" ht="15.75" customHeight="1" thickBot="1" x14ac:dyDescent="0.3">
      <c r="N780" s="11"/>
    </row>
    <row r="781" spans="14:14" ht="15.75" customHeight="1" thickBot="1" x14ac:dyDescent="0.3">
      <c r="N781" s="11"/>
    </row>
    <row r="782" spans="14:14" ht="15.75" customHeight="1" thickBot="1" x14ac:dyDescent="0.3">
      <c r="N782" s="11"/>
    </row>
    <row r="783" spans="14:14" ht="15.75" customHeight="1" thickBot="1" x14ac:dyDescent="0.3">
      <c r="N783" s="11"/>
    </row>
    <row r="784" spans="14:14" ht="15.75" customHeight="1" thickBot="1" x14ac:dyDescent="0.3">
      <c r="N784" s="11"/>
    </row>
    <row r="785" spans="14:14" ht="15.75" customHeight="1" thickBot="1" x14ac:dyDescent="0.3">
      <c r="N785" s="11"/>
    </row>
    <row r="786" spans="14:14" ht="15.75" customHeight="1" thickBot="1" x14ac:dyDescent="0.3">
      <c r="N786" s="11"/>
    </row>
    <row r="787" spans="14:14" ht="15.75" customHeight="1" thickBot="1" x14ac:dyDescent="0.3">
      <c r="N787" s="11"/>
    </row>
    <row r="788" spans="14:14" ht="15.75" customHeight="1" thickBot="1" x14ac:dyDescent="0.3">
      <c r="N788" s="11"/>
    </row>
    <row r="789" spans="14:14" ht="15.75" customHeight="1" thickBot="1" x14ac:dyDescent="0.3">
      <c r="N789" s="11"/>
    </row>
    <row r="790" spans="14:14" ht="15.75" customHeight="1" thickBot="1" x14ac:dyDescent="0.3">
      <c r="N790" s="11"/>
    </row>
    <row r="791" spans="14:14" ht="15.75" customHeight="1" thickBot="1" x14ac:dyDescent="0.3">
      <c r="N791" s="11"/>
    </row>
    <row r="792" spans="14:14" ht="15.75" customHeight="1" thickBot="1" x14ac:dyDescent="0.3">
      <c r="N792" s="11"/>
    </row>
    <row r="793" spans="14:14" ht="15.75" customHeight="1" thickBot="1" x14ac:dyDescent="0.3">
      <c r="N793" s="11"/>
    </row>
    <row r="794" spans="14:14" ht="15.75" customHeight="1" thickBot="1" x14ac:dyDescent="0.3">
      <c r="N794" s="11"/>
    </row>
    <row r="795" spans="14:14" ht="15.75" customHeight="1" thickBot="1" x14ac:dyDescent="0.3">
      <c r="N795" s="11"/>
    </row>
    <row r="796" spans="14:14" ht="15.75" customHeight="1" thickBot="1" x14ac:dyDescent="0.3">
      <c r="N796" s="11"/>
    </row>
    <row r="797" spans="14:14" ht="15.75" customHeight="1" thickBot="1" x14ac:dyDescent="0.3">
      <c r="N797" s="11"/>
    </row>
    <row r="798" spans="14:14" ht="15.75" customHeight="1" thickBot="1" x14ac:dyDescent="0.3">
      <c r="N798" s="11"/>
    </row>
    <row r="799" spans="14:14" ht="15.75" customHeight="1" thickBot="1" x14ac:dyDescent="0.3">
      <c r="N799" s="11"/>
    </row>
    <row r="800" spans="14:14" ht="15.75" customHeight="1" thickBot="1" x14ac:dyDescent="0.3">
      <c r="N800" s="11"/>
    </row>
    <row r="801" spans="14:14" ht="15.75" customHeight="1" thickBot="1" x14ac:dyDescent="0.3">
      <c r="N801" s="11"/>
    </row>
    <row r="802" spans="14:14" ht="15.75" customHeight="1" thickBot="1" x14ac:dyDescent="0.3">
      <c r="N802" s="11"/>
    </row>
    <row r="803" spans="14:14" ht="15.75" customHeight="1" thickBot="1" x14ac:dyDescent="0.3">
      <c r="N803" s="11"/>
    </row>
    <row r="804" spans="14:14" ht="15.75" customHeight="1" thickBot="1" x14ac:dyDescent="0.3">
      <c r="N804" s="11"/>
    </row>
    <row r="805" spans="14:14" ht="15.75" customHeight="1" thickBot="1" x14ac:dyDescent="0.3">
      <c r="N805" s="11"/>
    </row>
    <row r="806" spans="14:14" ht="15.75" customHeight="1" thickBot="1" x14ac:dyDescent="0.3">
      <c r="N806" s="11"/>
    </row>
    <row r="807" spans="14:14" ht="15.75" customHeight="1" thickBot="1" x14ac:dyDescent="0.3">
      <c r="N807" s="11"/>
    </row>
    <row r="808" spans="14:14" ht="15.75" customHeight="1" thickBot="1" x14ac:dyDescent="0.3">
      <c r="N808" s="11"/>
    </row>
    <row r="809" spans="14:14" ht="15.75" customHeight="1" thickBot="1" x14ac:dyDescent="0.3">
      <c r="N809" s="11"/>
    </row>
    <row r="810" spans="14:14" ht="15.75" customHeight="1" thickBot="1" x14ac:dyDescent="0.3">
      <c r="N810" s="11"/>
    </row>
    <row r="811" spans="14:14" ht="15.75" customHeight="1" thickBot="1" x14ac:dyDescent="0.3">
      <c r="N811" s="11"/>
    </row>
    <row r="812" spans="14:14" ht="15.75" customHeight="1" thickBot="1" x14ac:dyDescent="0.3">
      <c r="N812" s="11"/>
    </row>
    <row r="813" spans="14:14" ht="15.75" customHeight="1" thickBot="1" x14ac:dyDescent="0.3">
      <c r="N813" s="11"/>
    </row>
    <row r="814" spans="14:14" ht="15.75" customHeight="1" thickBot="1" x14ac:dyDescent="0.3">
      <c r="N814" s="11"/>
    </row>
    <row r="815" spans="14:14" ht="15.75" customHeight="1" thickBot="1" x14ac:dyDescent="0.3">
      <c r="N815" s="11"/>
    </row>
    <row r="816" spans="14:14" ht="15.75" customHeight="1" thickBot="1" x14ac:dyDescent="0.3">
      <c r="N816" s="11"/>
    </row>
    <row r="817" spans="14:14" ht="15.75" customHeight="1" thickBot="1" x14ac:dyDescent="0.3">
      <c r="N817" s="11"/>
    </row>
    <row r="818" spans="14:14" ht="15.75" customHeight="1" thickBot="1" x14ac:dyDescent="0.3">
      <c r="N818" s="11"/>
    </row>
    <row r="819" spans="14:14" ht="15.75" customHeight="1" thickBot="1" x14ac:dyDescent="0.3">
      <c r="N819" s="11"/>
    </row>
    <row r="820" spans="14:14" ht="15.75" customHeight="1" thickBot="1" x14ac:dyDescent="0.3">
      <c r="N820" s="11"/>
    </row>
    <row r="821" spans="14:14" ht="15.75" customHeight="1" thickBot="1" x14ac:dyDescent="0.3">
      <c r="N821" s="11"/>
    </row>
    <row r="822" spans="14:14" ht="15.75" customHeight="1" thickBot="1" x14ac:dyDescent="0.3">
      <c r="N822" s="11"/>
    </row>
    <row r="823" spans="14:14" ht="15.75" customHeight="1" thickBot="1" x14ac:dyDescent="0.3">
      <c r="N823" s="11"/>
    </row>
    <row r="824" spans="14:14" ht="15.75" customHeight="1" thickBot="1" x14ac:dyDescent="0.3">
      <c r="N824" s="11"/>
    </row>
    <row r="825" spans="14:14" ht="15.75" customHeight="1" thickBot="1" x14ac:dyDescent="0.3">
      <c r="N825" s="11"/>
    </row>
    <row r="826" spans="14:14" ht="15.75" customHeight="1" thickBot="1" x14ac:dyDescent="0.3">
      <c r="N826" s="11"/>
    </row>
    <row r="827" spans="14:14" ht="15.75" customHeight="1" thickBot="1" x14ac:dyDescent="0.3">
      <c r="N827" s="11"/>
    </row>
    <row r="828" spans="14:14" ht="15.75" customHeight="1" thickBot="1" x14ac:dyDescent="0.3">
      <c r="N828" s="11"/>
    </row>
    <row r="829" spans="14:14" ht="15.75" customHeight="1" thickBot="1" x14ac:dyDescent="0.3">
      <c r="N829" s="11"/>
    </row>
    <row r="830" spans="14:14" ht="15.75" customHeight="1" thickBot="1" x14ac:dyDescent="0.3">
      <c r="N830" s="11"/>
    </row>
    <row r="831" spans="14:14" ht="15.75" customHeight="1" thickBot="1" x14ac:dyDescent="0.3">
      <c r="N831" s="11"/>
    </row>
    <row r="832" spans="14:14" ht="15.75" customHeight="1" thickBot="1" x14ac:dyDescent="0.3">
      <c r="N832" s="11"/>
    </row>
    <row r="833" spans="14:14" ht="15.75" customHeight="1" thickBot="1" x14ac:dyDescent="0.3">
      <c r="N833" s="11"/>
    </row>
    <row r="834" spans="14:14" ht="15.75" customHeight="1" thickBot="1" x14ac:dyDescent="0.3">
      <c r="N834" s="11"/>
    </row>
    <row r="835" spans="14:14" ht="15.75" customHeight="1" thickBot="1" x14ac:dyDescent="0.3">
      <c r="N835" s="11"/>
    </row>
    <row r="836" spans="14:14" ht="15.75" customHeight="1" thickBot="1" x14ac:dyDescent="0.3">
      <c r="N836" s="11"/>
    </row>
    <row r="837" spans="14:14" ht="15.75" customHeight="1" thickBot="1" x14ac:dyDescent="0.3">
      <c r="N837" s="11"/>
    </row>
    <row r="838" spans="14:14" ht="15.75" customHeight="1" thickBot="1" x14ac:dyDescent="0.3">
      <c r="N838" s="11"/>
    </row>
    <row r="839" spans="14:14" ht="15.75" customHeight="1" thickBot="1" x14ac:dyDescent="0.3">
      <c r="N839" s="11"/>
    </row>
    <row r="840" spans="14:14" ht="15.75" customHeight="1" thickBot="1" x14ac:dyDescent="0.3">
      <c r="N840" s="11"/>
    </row>
    <row r="841" spans="14:14" ht="15.75" customHeight="1" thickBot="1" x14ac:dyDescent="0.3">
      <c r="N841" s="11"/>
    </row>
    <row r="842" spans="14:14" ht="15.75" customHeight="1" thickBot="1" x14ac:dyDescent="0.3">
      <c r="N842" s="11"/>
    </row>
    <row r="843" spans="14:14" ht="15.75" customHeight="1" thickBot="1" x14ac:dyDescent="0.3">
      <c r="N843" s="11"/>
    </row>
    <row r="844" spans="14:14" ht="15.75" customHeight="1" thickBot="1" x14ac:dyDescent="0.3">
      <c r="N844" s="11"/>
    </row>
    <row r="845" spans="14:14" ht="15.75" customHeight="1" thickBot="1" x14ac:dyDescent="0.3">
      <c r="N845" s="11"/>
    </row>
    <row r="846" spans="14:14" ht="15.75" customHeight="1" thickBot="1" x14ac:dyDescent="0.3">
      <c r="N846" s="11"/>
    </row>
    <row r="847" spans="14:14" ht="15.75" customHeight="1" thickBot="1" x14ac:dyDescent="0.3">
      <c r="N847" s="11"/>
    </row>
    <row r="848" spans="14:14" ht="15.75" customHeight="1" thickBot="1" x14ac:dyDescent="0.3">
      <c r="N848" s="11"/>
    </row>
    <row r="849" spans="14:14" ht="15.75" customHeight="1" thickBot="1" x14ac:dyDescent="0.3">
      <c r="N849" s="11"/>
    </row>
    <row r="850" spans="14:14" ht="15.75" customHeight="1" thickBot="1" x14ac:dyDescent="0.3">
      <c r="N850" s="11"/>
    </row>
    <row r="851" spans="14:14" ht="15.75" customHeight="1" thickBot="1" x14ac:dyDescent="0.3">
      <c r="N851" s="11"/>
    </row>
    <row r="852" spans="14:14" ht="15.75" customHeight="1" thickBot="1" x14ac:dyDescent="0.3">
      <c r="N852" s="11"/>
    </row>
    <row r="853" spans="14:14" ht="15.75" customHeight="1" thickBot="1" x14ac:dyDescent="0.3">
      <c r="N853" s="11"/>
    </row>
    <row r="854" spans="14:14" ht="15.75" customHeight="1" thickBot="1" x14ac:dyDescent="0.3">
      <c r="N854" s="11"/>
    </row>
    <row r="855" spans="14:14" ht="15.75" customHeight="1" thickBot="1" x14ac:dyDescent="0.3">
      <c r="N855" s="11"/>
    </row>
    <row r="856" spans="14:14" ht="15.75" customHeight="1" thickBot="1" x14ac:dyDescent="0.3">
      <c r="N856" s="11"/>
    </row>
    <row r="857" spans="14:14" ht="15.75" customHeight="1" thickBot="1" x14ac:dyDescent="0.3">
      <c r="N857" s="11"/>
    </row>
    <row r="858" spans="14:14" ht="15.75" customHeight="1" thickBot="1" x14ac:dyDescent="0.3">
      <c r="N858" s="11"/>
    </row>
    <row r="859" spans="14:14" ht="15.75" customHeight="1" thickBot="1" x14ac:dyDescent="0.3">
      <c r="N859" s="11"/>
    </row>
    <row r="860" spans="14:14" ht="15.75" customHeight="1" thickBot="1" x14ac:dyDescent="0.3">
      <c r="N860" s="11"/>
    </row>
    <row r="861" spans="14:14" ht="15.75" customHeight="1" thickBot="1" x14ac:dyDescent="0.3">
      <c r="N861" s="11"/>
    </row>
    <row r="862" spans="14:14" ht="15.75" customHeight="1" thickBot="1" x14ac:dyDescent="0.3">
      <c r="N862" s="11"/>
    </row>
    <row r="863" spans="14:14" ht="15.75" customHeight="1" thickBot="1" x14ac:dyDescent="0.3">
      <c r="N863" s="11"/>
    </row>
    <row r="864" spans="14:14" ht="15.75" customHeight="1" thickBot="1" x14ac:dyDescent="0.3">
      <c r="N864" s="11"/>
    </row>
    <row r="865" spans="14:14" ht="15.75" customHeight="1" thickBot="1" x14ac:dyDescent="0.3">
      <c r="N865" s="11"/>
    </row>
    <row r="866" spans="14:14" ht="15.75" customHeight="1" thickBot="1" x14ac:dyDescent="0.3">
      <c r="N866" s="11"/>
    </row>
    <row r="867" spans="14:14" ht="15.75" customHeight="1" thickBot="1" x14ac:dyDescent="0.3">
      <c r="N867" s="11"/>
    </row>
    <row r="868" spans="14:14" ht="15.75" customHeight="1" thickBot="1" x14ac:dyDescent="0.3">
      <c r="N868" s="11"/>
    </row>
    <row r="869" spans="14:14" ht="15.75" customHeight="1" thickBot="1" x14ac:dyDescent="0.3">
      <c r="N869" s="11"/>
    </row>
    <row r="870" spans="14:14" ht="15.75" customHeight="1" thickBot="1" x14ac:dyDescent="0.3">
      <c r="N870" s="11"/>
    </row>
    <row r="871" spans="14:14" ht="15.75" customHeight="1" thickBot="1" x14ac:dyDescent="0.3">
      <c r="N871" s="11"/>
    </row>
    <row r="872" spans="14:14" ht="15.75" customHeight="1" thickBot="1" x14ac:dyDescent="0.3">
      <c r="N872" s="11"/>
    </row>
    <row r="873" spans="14:14" ht="15.75" customHeight="1" thickBot="1" x14ac:dyDescent="0.3">
      <c r="N873" s="11"/>
    </row>
    <row r="874" spans="14:14" ht="15.75" customHeight="1" thickBot="1" x14ac:dyDescent="0.3">
      <c r="N874" s="11"/>
    </row>
    <row r="875" spans="14:14" ht="15.75" customHeight="1" thickBot="1" x14ac:dyDescent="0.3">
      <c r="N875" s="11"/>
    </row>
    <row r="876" spans="14:14" ht="15.75" customHeight="1" thickBot="1" x14ac:dyDescent="0.3">
      <c r="N876" s="11"/>
    </row>
    <row r="877" spans="14:14" ht="15.75" customHeight="1" thickBot="1" x14ac:dyDescent="0.3">
      <c r="N877" s="11"/>
    </row>
    <row r="878" spans="14:14" ht="15.75" customHeight="1" thickBot="1" x14ac:dyDescent="0.3">
      <c r="N878" s="11"/>
    </row>
    <row r="879" spans="14:14" ht="15.75" customHeight="1" thickBot="1" x14ac:dyDescent="0.3">
      <c r="N879" s="11"/>
    </row>
    <row r="880" spans="14:14" ht="15.75" customHeight="1" thickBot="1" x14ac:dyDescent="0.3">
      <c r="N880" s="11"/>
    </row>
    <row r="881" spans="14:14" ht="15.75" customHeight="1" thickBot="1" x14ac:dyDescent="0.3">
      <c r="N881" s="11"/>
    </row>
    <row r="882" spans="14:14" ht="15.75" customHeight="1" thickBot="1" x14ac:dyDescent="0.3">
      <c r="N882" s="11"/>
    </row>
    <row r="883" spans="14:14" ht="15.75" customHeight="1" thickBot="1" x14ac:dyDescent="0.3">
      <c r="N883" s="11"/>
    </row>
    <row r="884" spans="14:14" ht="15.75" customHeight="1" thickBot="1" x14ac:dyDescent="0.3">
      <c r="N884" s="11"/>
    </row>
    <row r="885" spans="14:14" ht="15.75" customHeight="1" thickBot="1" x14ac:dyDescent="0.3">
      <c r="N885" s="11"/>
    </row>
    <row r="886" spans="14:14" ht="15.75" customHeight="1" thickBot="1" x14ac:dyDescent="0.3">
      <c r="N886" s="11"/>
    </row>
    <row r="887" spans="14:14" ht="15.75" customHeight="1" thickBot="1" x14ac:dyDescent="0.3">
      <c r="N887" s="11"/>
    </row>
    <row r="888" spans="14:14" ht="15.75" customHeight="1" thickBot="1" x14ac:dyDescent="0.3">
      <c r="N888" s="11"/>
    </row>
    <row r="889" spans="14:14" ht="15.75" customHeight="1" thickBot="1" x14ac:dyDescent="0.3">
      <c r="N889" s="11"/>
    </row>
    <row r="890" spans="14:14" ht="15.75" customHeight="1" thickBot="1" x14ac:dyDescent="0.3">
      <c r="N890" s="11"/>
    </row>
    <row r="891" spans="14:14" ht="15.75" customHeight="1" thickBot="1" x14ac:dyDescent="0.3">
      <c r="N891" s="11"/>
    </row>
    <row r="892" spans="14:14" ht="15.75" customHeight="1" thickBot="1" x14ac:dyDescent="0.3">
      <c r="N892" s="11"/>
    </row>
    <row r="893" spans="14:14" ht="15.75" customHeight="1" thickBot="1" x14ac:dyDescent="0.3">
      <c r="N893" s="11"/>
    </row>
    <row r="894" spans="14:14" ht="15.75" customHeight="1" thickBot="1" x14ac:dyDescent="0.3">
      <c r="N894" s="11"/>
    </row>
    <row r="895" spans="14:14" ht="15.75" customHeight="1" thickBot="1" x14ac:dyDescent="0.3">
      <c r="N895" s="11"/>
    </row>
    <row r="896" spans="14:14" ht="15.75" customHeight="1" thickBot="1" x14ac:dyDescent="0.3">
      <c r="N896" s="11"/>
    </row>
    <row r="897" spans="14:14" ht="15.75" customHeight="1" thickBot="1" x14ac:dyDescent="0.3">
      <c r="N897" s="11"/>
    </row>
    <row r="898" spans="14:14" ht="15.75" customHeight="1" thickBot="1" x14ac:dyDescent="0.3">
      <c r="N898" s="11"/>
    </row>
    <row r="899" spans="14:14" ht="15.75" customHeight="1" thickBot="1" x14ac:dyDescent="0.3">
      <c r="N899" s="11"/>
    </row>
    <row r="900" spans="14:14" ht="15.75" customHeight="1" thickBot="1" x14ac:dyDescent="0.3">
      <c r="N900" s="11"/>
    </row>
    <row r="901" spans="14:14" ht="15.75" customHeight="1" thickBot="1" x14ac:dyDescent="0.3">
      <c r="N901" s="11"/>
    </row>
    <row r="902" spans="14:14" ht="15.75" customHeight="1" thickBot="1" x14ac:dyDescent="0.3">
      <c r="N902" s="11"/>
    </row>
    <row r="903" spans="14:14" ht="15.75" customHeight="1" thickBot="1" x14ac:dyDescent="0.3">
      <c r="N903" s="11"/>
    </row>
    <row r="904" spans="14:14" ht="15.75" customHeight="1" thickBot="1" x14ac:dyDescent="0.3">
      <c r="N904" s="11"/>
    </row>
    <row r="905" spans="14:14" ht="15.75" customHeight="1" thickBot="1" x14ac:dyDescent="0.3">
      <c r="N905" s="11"/>
    </row>
    <row r="906" spans="14:14" ht="15.75" customHeight="1" thickBot="1" x14ac:dyDescent="0.3">
      <c r="N906" s="11"/>
    </row>
    <row r="907" spans="14:14" ht="15.75" customHeight="1" thickBot="1" x14ac:dyDescent="0.3">
      <c r="N907" s="11"/>
    </row>
    <row r="908" spans="14:14" ht="15.75" customHeight="1" thickBot="1" x14ac:dyDescent="0.3">
      <c r="N908" s="11"/>
    </row>
    <row r="909" spans="14:14" ht="15.75" customHeight="1" thickBot="1" x14ac:dyDescent="0.3">
      <c r="N909" s="11"/>
    </row>
    <row r="910" spans="14:14" ht="15.75" customHeight="1" thickBot="1" x14ac:dyDescent="0.3">
      <c r="N910" s="11"/>
    </row>
    <row r="911" spans="14:14" ht="15.75" customHeight="1" thickBot="1" x14ac:dyDescent="0.3">
      <c r="N911" s="11"/>
    </row>
    <row r="912" spans="14:14" ht="15.75" customHeight="1" thickBot="1" x14ac:dyDescent="0.3">
      <c r="N912" s="11"/>
    </row>
    <row r="913" spans="14:14" ht="15.75" customHeight="1" thickBot="1" x14ac:dyDescent="0.3">
      <c r="N913" s="11"/>
    </row>
    <row r="914" spans="14:14" ht="15.75" customHeight="1" thickBot="1" x14ac:dyDescent="0.3">
      <c r="N914" s="11"/>
    </row>
    <row r="915" spans="14:14" ht="15.75" customHeight="1" thickBot="1" x14ac:dyDescent="0.3">
      <c r="N915" s="11"/>
    </row>
    <row r="916" spans="14:14" ht="15.75" customHeight="1" thickBot="1" x14ac:dyDescent="0.3">
      <c r="N916" s="11"/>
    </row>
    <row r="917" spans="14:14" ht="15.75" customHeight="1" thickBot="1" x14ac:dyDescent="0.3">
      <c r="N917" s="11"/>
    </row>
    <row r="918" spans="14:14" ht="15.75" customHeight="1" thickBot="1" x14ac:dyDescent="0.3">
      <c r="N918" s="11"/>
    </row>
    <row r="919" spans="14:14" ht="15.75" customHeight="1" thickBot="1" x14ac:dyDescent="0.3">
      <c r="N919" s="11"/>
    </row>
    <row r="920" spans="14:14" ht="15.75" customHeight="1" thickBot="1" x14ac:dyDescent="0.3">
      <c r="N920" s="11"/>
    </row>
    <row r="921" spans="14:14" ht="15.75" customHeight="1" thickBot="1" x14ac:dyDescent="0.3">
      <c r="N921" s="11"/>
    </row>
    <row r="922" spans="14:14" ht="15.75" customHeight="1" thickBot="1" x14ac:dyDescent="0.3">
      <c r="N922" s="11"/>
    </row>
    <row r="923" spans="14:14" ht="15.75" customHeight="1" thickBot="1" x14ac:dyDescent="0.3">
      <c r="N923" s="11"/>
    </row>
    <row r="924" spans="14:14" ht="15.75" customHeight="1" thickBot="1" x14ac:dyDescent="0.3">
      <c r="N924" s="11"/>
    </row>
    <row r="925" spans="14:14" ht="15.75" customHeight="1" thickBot="1" x14ac:dyDescent="0.3">
      <c r="N925" s="11"/>
    </row>
    <row r="926" spans="14:14" ht="15.75" customHeight="1" thickBot="1" x14ac:dyDescent="0.3">
      <c r="N926" s="11"/>
    </row>
    <row r="927" spans="14:14" ht="15.75" customHeight="1" thickBot="1" x14ac:dyDescent="0.3">
      <c r="N927" s="11"/>
    </row>
    <row r="928" spans="14:14" ht="15.75" customHeight="1" thickBot="1" x14ac:dyDescent="0.3">
      <c r="N928" s="11"/>
    </row>
    <row r="929" spans="14:14" ht="15.75" customHeight="1" thickBot="1" x14ac:dyDescent="0.3">
      <c r="N929" s="11"/>
    </row>
    <row r="930" spans="14:14" ht="15.75" customHeight="1" thickBot="1" x14ac:dyDescent="0.3">
      <c r="N930" s="11"/>
    </row>
    <row r="931" spans="14:14" ht="15.75" customHeight="1" thickBot="1" x14ac:dyDescent="0.3">
      <c r="N931" s="11"/>
    </row>
    <row r="932" spans="14:14" ht="15.75" customHeight="1" thickBot="1" x14ac:dyDescent="0.3">
      <c r="N932" s="11"/>
    </row>
    <row r="933" spans="14:14" ht="15.75" customHeight="1" thickBot="1" x14ac:dyDescent="0.3">
      <c r="N933" s="11"/>
    </row>
    <row r="934" spans="14:14" ht="15.75" customHeight="1" thickBot="1" x14ac:dyDescent="0.3">
      <c r="N934" s="11"/>
    </row>
    <row r="935" spans="14:14" ht="15.75" customHeight="1" thickBot="1" x14ac:dyDescent="0.3">
      <c r="N935" s="11"/>
    </row>
    <row r="936" spans="14:14" ht="15.75" customHeight="1" thickBot="1" x14ac:dyDescent="0.3">
      <c r="N936" s="11"/>
    </row>
    <row r="937" spans="14:14" ht="15.75" customHeight="1" thickBot="1" x14ac:dyDescent="0.3">
      <c r="N937" s="11"/>
    </row>
    <row r="938" spans="14:14" ht="15.75" customHeight="1" thickBot="1" x14ac:dyDescent="0.3">
      <c r="N938" s="11"/>
    </row>
    <row r="939" spans="14:14" ht="15.75" customHeight="1" thickBot="1" x14ac:dyDescent="0.3">
      <c r="N939" s="11"/>
    </row>
    <row r="940" spans="14:14" ht="15.75" customHeight="1" thickBot="1" x14ac:dyDescent="0.3">
      <c r="N940" s="11"/>
    </row>
    <row r="941" spans="14:14" ht="15.75" customHeight="1" thickBot="1" x14ac:dyDescent="0.3">
      <c r="N941" s="11"/>
    </row>
    <row r="942" spans="14:14" ht="15.75" customHeight="1" thickBot="1" x14ac:dyDescent="0.3">
      <c r="N942" s="11"/>
    </row>
    <row r="943" spans="14:14" ht="15.75" customHeight="1" thickBot="1" x14ac:dyDescent="0.3">
      <c r="N943" s="11"/>
    </row>
    <row r="944" spans="14:14" ht="15.75" customHeight="1" thickBot="1" x14ac:dyDescent="0.3">
      <c r="N944" s="11"/>
    </row>
    <row r="945" spans="14:14" ht="15.75" customHeight="1" thickBot="1" x14ac:dyDescent="0.3">
      <c r="N945" s="11"/>
    </row>
    <row r="946" spans="14:14" ht="15.75" customHeight="1" thickBot="1" x14ac:dyDescent="0.3">
      <c r="N946" s="11"/>
    </row>
    <row r="947" spans="14:14" ht="15.75" customHeight="1" thickBot="1" x14ac:dyDescent="0.3">
      <c r="N947" s="11"/>
    </row>
    <row r="948" spans="14:14" ht="15.75" customHeight="1" thickBot="1" x14ac:dyDescent="0.3">
      <c r="N948" s="11"/>
    </row>
    <row r="949" spans="14:14" ht="15.75" customHeight="1" thickBot="1" x14ac:dyDescent="0.3">
      <c r="N949" s="11"/>
    </row>
    <row r="950" spans="14:14" ht="15.75" customHeight="1" thickBot="1" x14ac:dyDescent="0.3">
      <c r="N950" s="11"/>
    </row>
    <row r="951" spans="14:14" ht="15.75" customHeight="1" thickBot="1" x14ac:dyDescent="0.3">
      <c r="N951" s="11"/>
    </row>
    <row r="952" spans="14:14" ht="15.75" customHeight="1" thickBot="1" x14ac:dyDescent="0.3">
      <c r="N952" s="11"/>
    </row>
    <row r="953" spans="14:14" ht="15.75" customHeight="1" thickBot="1" x14ac:dyDescent="0.3">
      <c r="N953" s="11"/>
    </row>
    <row r="954" spans="14:14" ht="15.75" customHeight="1" thickBot="1" x14ac:dyDescent="0.3">
      <c r="N954" s="11"/>
    </row>
    <row r="955" spans="14:14" ht="15.75" customHeight="1" thickBot="1" x14ac:dyDescent="0.3">
      <c r="N955" s="11"/>
    </row>
    <row r="956" spans="14:14" ht="15.75" customHeight="1" thickBot="1" x14ac:dyDescent="0.3">
      <c r="N956" s="11"/>
    </row>
    <row r="957" spans="14:14" ht="15.75" customHeight="1" thickBot="1" x14ac:dyDescent="0.3">
      <c r="N957" s="11"/>
    </row>
    <row r="958" spans="14:14" ht="15.75" customHeight="1" thickBot="1" x14ac:dyDescent="0.3">
      <c r="N958" s="11"/>
    </row>
    <row r="959" spans="14:14" ht="15.75" customHeight="1" thickBot="1" x14ac:dyDescent="0.3">
      <c r="N959" s="11"/>
    </row>
    <row r="960" spans="14:14" ht="15.75" customHeight="1" thickBot="1" x14ac:dyDescent="0.3">
      <c r="N960" s="11"/>
    </row>
    <row r="961" spans="14:14" ht="15.75" customHeight="1" thickBot="1" x14ac:dyDescent="0.3">
      <c r="N961" s="11"/>
    </row>
    <row r="962" spans="14:14" ht="15.75" customHeight="1" thickBot="1" x14ac:dyDescent="0.3">
      <c r="N962" s="11"/>
    </row>
    <row r="963" spans="14:14" ht="15.75" customHeight="1" thickBot="1" x14ac:dyDescent="0.3">
      <c r="N963" s="11"/>
    </row>
    <row r="964" spans="14:14" ht="15.75" customHeight="1" thickBot="1" x14ac:dyDescent="0.3">
      <c r="N964" s="11"/>
    </row>
    <row r="965" spans="14:14" ht="15.75" customHeight="1" thickBot="1" x14ac:dyDescent="0.3">
      <c r="N965" s="11"/>
    </row>
    <row r="966" spans="14:14" ht="15.75" customHeight="1" thickBot="1" x14ac:dyDescent="0.3">
      <c r="N966" s="11"/>
    </row>
    <row r="967" spans="14:14" ht="15.75" customHeight="1" thickBot="1" x14ac:dyDescent="0.3">
      <c r="N967" s="11"/>
    </row>
    <row r="968" spans="14:14" ht="15.75" customHeight="1" thickBot="1" x14ac:dyDescent="0.3">
      <c r="N968" s="11"/>
    </row>
    <row r="969" spans="14:14" ht="15.75" customHeight="1" thickBot="1" x14ac:dyDescent="0.3">
      <c r="N969" s="11"/>
    </row>
    <row r="970" spans="14:14" ht="15.75" customHeight="1" thickBot="1" x14ac:dyDescent="0.3">
      <c r="N970" s="11"/>
    </row>
    <row r="971" spans="14:14" ht="15.75" customHeight="1" thickBot="1" x14ac:dyDescent="0.3">
      <c r="N971" s="11"/>
    </row>
    <row r="972" spans="14:14" ht="15.75" customHeight="1" thickBot="1" x14ac:dyDescent="0.3">
      <c r="N972" s="11"/>
    </row>
    <row r="973" spans="14:14" ht="15.75" customHeight="1" thickBot="1" x14ac:dyDescent="0.3">
      <c r="N973" s="11"/>
    </row>
    <row r="974" spans="14:14" ht="15.75" customHeight="1" thickBot="1" x14ac:dyDescent="0.3">
      <c r="N974" s="11"/>
    </row>
    <row r="975" spans="14:14" ht="15.75" customHeight="1" thickBot="1" x14ac:dyDescent="0.3">
      <c r="N975" s="11"/>
    </row>
    <row r="976" spans="14:14" ht="15.75" customHeight="1" thickBot="1" x14ac:dyDescent="0.3">
      <c r="N976" s="11"/>
    </row>
    <row r="977" spans="14:14" ht="15.75" customHeight="1" thickBot="1" x14ac:dyDescent="0.3">
      <c r="N977" s="11"/>
    </row>
    <row r="978" spans="14:14" ht="15.75" customHeight="1" thickBot="1" x14ac:dyDescent="0.3">
      <c r="N978" s="11"/>
    </row>
    <row r="979" spans="14:14" ht="15.75" customHeight="1" thickBot="1" x14ac:dyDescent="0.3">
      <c r="N979" s="11"/>
    </row>
    <row r="980" spans="14:14" ht="15.75" customHeight="1" thickBot="1" x14ac:dyDescent="0.3">
      <c r="N980" s="11"/>
    </row>
    <row r="981" spans="14:14" ht="15.75" customHeight="1" thickBot="1" x14ac:dyDescent="0.3">
      <c r="N981" s="11"/>
    </row>
    <row r="982" spans="14:14" ht="15.75" customHeight="1" thickBot="1" x14ac:dyDescent="0.3">
      <c r="N982" s="11"/>
    </row>
    <row r="983" spans="14:14" ht="15.75" customHeight="1" thickBot="1" x14ac:dyDescent="0.3">
      <c r="N983" s="11"/>
    </row>
    <row r="984" spans="14:14" ht="15.75" customHeight="1" thickBot="1" x14ac:dyDescent="0.3">
      <c r="N984" s="11"/>
    </row>
    <row r="985" spans="14:14" ht="15.75" customHeight="1" thickBot="1" x14ac:dyDescent="0.3">
      <c r="N985" s="11"/>
    </row>
    <row r="986" spans="14:14" ht="15.75" customHeight="1" thickBot="1" x14ac:dyDescent="0.3">
      <c r="N986" s="11"/>
    </row>
    <row r="987" spans="14:14" ht="15.75" customHeight="1" thickBot="1" x14ac:dyDescent="0.3">
      <c r="N987" s="11"/>
    </row>
    <row r="988" spans="14:14" ht="15.75" customHeight="1" thickBot="1" x14ac:dyDescent="0.3">
      <c r="N988" s="11"/>
    </row>
    <row r="989" spans="14:14" ht="15.75" customHeight="1" thickBot="1" x14ac:dyDescent="0.3">
      <c r="N989" s="11"/>
    </row>
    <row r="990" spans="14:14" ht="15.75" customHeight="1" thickBot="1" x14ac:dyDescent="0.3">
      <c r="N990" s="11"/>
    </row>
    <row r="991" spans="14:14" ht="15.75" customHeight="1" thickBot="1" x14ac:dyDescent="0.3">
      <c r="N991" s="11"/>
    </row>
    <row r="992" spans="14:14" ht="15.75" customHeight="1" thickBot="1" x14ac:dyDescent="0.3">
      <c r="N992" s="11"/>
    </row>
    <row r="993" spans="14:14" ht="15.75" customHeight="1" thickBot="1" x14ac:dyDescent="0.3">
      <c r="N993" s="11"/>
    </row>
    <row r="994" spans="14:14" ht="15.75" customHeight="1" thickBot="1" x14ac:dyDescent="0.3">
      <c r="N994" s="11"/>
    </row>
    <row r="995" spans="14:14" ht="15.75" customHeight="1" thickBot="1" x14ac:dyDescent="0.3">
      <c r="N995" s="11"/>
    </row>
    <row r="996" spans="14:14" ht="15.75" customHeight="1" thickBot="1" x14ac:dyDescent="0.3">
      <c r="N996" s="11"/>
    </row>
    <row r="997" spans="14:14" ht="15.75" customHeight="1" thickBot="1" x14ac:dyDescent="0.3">
      <c r="N997" s="11"/>
    </row>
    <row r="998" spans="14:14" ht="15.75" customHeight="1" thickBot="1" x14ac:dyDescent="0.3">
      <c r="N998" s="11"/>
    </row>
    <row r="999" spans="14:14" ht="15.75" customHeight="1" thickBot="1" x14ac:dyDescent="0.3">
      <c r="N999" s="11"/>
    </row>
    <row r="1000" spans="14:14" ht="15.75" customHeight="1" thickBot="1" x14ac:dyDescent="0.3">
      <c r="N1000" s="11"/>
    </row>
  </sheetData>
  <autoFilter ref="A1:W55"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5"/>
  <sheetViews>
    <sheetView workbookViewId="0"/>
  </sheetViews>
  <sheetFormatPr defaultColWidth="12.6328125" defaultRowHeight="15.75" customHeight="1" x14ac:dyDescent="0.25"/>
  <cols>
    <col min="1" max="1" width="17.08984375" customWidth="1"/>
  </cols>
  <sheetData>
    <row r="1" spans="1:2" ht="15.75" customHeight="1" x14ac:dyDescent="0.25">
      <c r="A1" s="1" t="s">
        <v>346</v>
      </c>
      <c r="B1" s="1" t="s">
        <v>347</v>
      </c>
    </row>
    <row r="2" spans="1:2" ht="15.75" customHeight="1" x14ac:dyDescent="0.25">
      <c r="A2" s="1" t="s">
        <v>247</v>
      </c>
      <c r="B2" s="1" t="s">
        <v>348</v>
      </c>
    </row>
    <row r="3" spans="1:2" ht="15.75" customHeight="1" x14ac:dyDescent="0.25">
      <c r="A3" s="1" t="s">
        <v>111</v>
      </c>
      <c r="B3" s="1" t="s">
        <v>349</v>
      </c>
    </row>
    <row r="4" spans="1:2" ht="15.75" customHeight="1" x14ac:dyDescent="0.25">
      <c r="A4" s="1" t="s">
        <v>170</v>
      </c>
      <c r="B4" s="1" t="s">
        <v>350</v>
      </c>
    </row>
    <row r="5" spans="1:2" ht="15.75" customHeight="1" x14ac:dyDescent="0.25">
      <c r="A5" s="1" t="s">
        <v>210</v>
      </c>
      <c r="B5" s="1" t="s">
        <v>351</v>
      </c>
    </row>
    <row r="6" spans="1:2" ht="15.75" customHeight="1" x14ac:dyDescent="0.25">
      <c r="A6" s="1" t="s">
        <v>42</v>
      </c>
      <c r="B6" s="1" t="s">
        <v>352</v>
      </c>
    </row>
    <row r="7" spans="1:2" ht="15.75" customHeight="1" x14ac:dyDescent="0.25">
      <c r="A7" s="1" t="s">
        <v>16</v>
      </c>
      <c r="B7" s="1" t="s">
        <v>353</v>
      </c>
    </row>
    <row r="8" spans="1:2" ht="15.75" customHeight="1" x14ac:dyDescent="0.25">
      <c r="A8" s="1" t="s">
        <v>26</v>
      </c>
      <c r="B8" s="1" t="s">
        <v>354</v>
      </c>
    </row>
    <row r="9" spans="1:2" ht="15.75" customHeight="1" x14ac:dyDescent="0.25">
      <c r="A9" s="1" t="s">
        <v>68</v>
      </c>
      <c r="B9" s="1" t="s">
        <v>355</v>
      </c>
    </row>
    <row r="10" spans="1:2" ht="15.75" customHeight="1" x14ac:dyDescent="0.25">
      <c r="A10" s="1" t="s">
        <v>356</v>
      </c>
      <c r="B10" s="1" t="s">
        <v>357</v>
      </c>
    </row>
    <row r="11" spans="1:2" ht="15.75" customHeight="1" x14ac:dyDescent="0.25">
      <c r="A11" s="1" t="s">
        <v>61</v>
      </c>
      <c r="B11" s="1" t="s">
        <v>358</v>
      </c>
    </row>
    <row r="12" spans="1:2" ht="15.75" customHeight="1" x14ac:dyDescent="0.25">
      <c r="A12" s="1" t="s">
        <v>55</v>
      </c>
      <c r="B12" s="1" t="s">
        <v>359</v>
      </c>
    </row>
    <row r="13" spans="1:2" ht="15.75" customHeight="1" x14ac:dyDescent="0.25">
      <c r="A13" s="1" t="s">
        <v>157</v>
      </c>
      <c r="B13" s="1" t="s">
        <v>360</v>
      </c>
    </row>
    <row r="14" spans="1:2" ht="15.75" customHeight="1" x14ac:dyDescent="0.25">
      <c r="A14" s="1" t="s">
        <v>104</v>
      </c>
      <c r="B14" s="1" t="s">
        <v>361</v>
      </c>
    </row>
    <row r="16" spans="1:2" ht="15.75" customHeight="1" x14ac:dyDescent="0.35">
      <c r="A16" s="2"/>
    </row>
    <row r="17" spans="1:1" ht="15.75" customHeight="1" x14ac:dyDescent="0.35">
      <c r="A17" s="2"/>
    </row>
    <row r="18" spans="1:1" ht="17.5" x14ac:dyDescent="0.35">
      <c r="A18" s="2"/>
    </row>
    <row r="19" spans="1:1" ht="17.5" x14ac:dyDescent="0.35">
      <c r="A19" s="2"/>
    </row>
    <row r="20" spans="1:1" ht="17.5" x14ac:dyDescent="0.35">
      <c r="A20" s="2"/>
    </row>
    <row r="21" spans="1:1" ht="17.5" x14ac:dyDescent="0.35">
      <c r="A21" s="2"/>
    </row>
    <row r="22" spans="1:1" ht="17.5" x14ac:dyDescent="0.35">
      <c r="A22" s="2"/>
    </row>
    <row r="23" spans="1:1" ht="17.5" x14ac:dyDescent="0.35">
      <c r="A23" s="2"/>
    </row>
    <row r="24" spans="1:1" ht="17.5" x14ac:dyDescent="0.35">
      <c r="A24" s="2"/>
    </row>
    <row r="25" spans="1:1" ht="17.5" x14ac:dyDescent="0.35">
      <c r="A2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34"/>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0.453125" customWidth="1"/>
    <col min="2" max="2" width="11.6328125" customWidth="1"/>
    <col min="3" max="3" width="28.7265625" customWidth="1"/>
    <col min="4" max="4" width="7.26953125" customWidth="1"/>
    <col min="5" max="5" width="10.26953125" customWidth="1"/>
    <col min="6" max="6" width="8.26953125" customWidth="1"/>
    <col min="7" max="7" width="7.36328125" customWidth="1"/>
  </cols>
  <sheetData>
    <row r="1" spans="1:27" ht="13" x14ac:dyDescent="0.3">
      <c r="A1" s="3" t="s">
        <v>362</v>
      </c>
      <c r="B1" s="3" t="s">
        <v>363</v>
      </c>
      <c r="C1" s="3" t="s">
        <v>364</v>
      </c>
      <c r="D1" s="3" t="s">
        <v>365</v>
      </c>
      <c r="E1" s="3" t="s">
        <v>366</v>
      </c>
      <c r="F1" s="3" t="s">
        <v>367</v>
      </c>
      <c r="G1" s="3" t="s">
        <v>368</v>
      </c>
      <c r="H1" s="3" t="s">
        <v>369</v>
      </c>
      <c r="I1" s="3" t="s">
        <v>370</v>
      </c>
      <c r="J1" s="3"/>
      <c r="K1" s="3"/>
      <c r="L1" s="3"/>
      <c r="M1" s="3"/>
      <c r="N1" s="3"/>
      <c r="O1" s="3"/>
      <c r="P1" s="3"/>
      <c r="Q1" s="3"/>
      <c r="R1" s="3"/>
      <c r="S1" s="3"/>
      <c r="T1" s="3"/>
      <c r="U1" s="3"/>
      <c r="V1" s="3"/>
      <c r="W1" s="3"/>
      <c r="X1" s="3"/>
      <c r="Y1" s="3"/>
      <c r="Z1" s="3"/>
      <c r="AA1" s="3"/>
    </row>
    <row r="2" spans="1:27" ht="15.75" customHeight="1" x14ac:dyDescent="0.25">
      <c r="A2" s="1" t="s">
        <v>371</v>
      </c>
      <c r="B2" s="1" t="s">
        <v>372</v>
      </c>
      <c r="C2" s="1" t="s">
        <v>373</v>
      </c>
      <c r="D2" s="1">
        <v>10</v>
      </c>
      <c r="E2" s="1" t="s">
        <v>20</v>
      </c>
      <c r="F2" s="1">
        <v>82</v>
      </c>
      <c r="G2" s="1">
        <v>827</v>
      </c>
    </row>
    <row r="3" spans="1:27" ht="15.75" customHeight="1" x14ac:dyDescent="0.25">
      <c r="A3" s="4" t="s">
        <v>371</v>
      </c>
      <c r="B3" s="4" t="s">
        <v>372</v>
      </c>
      <c r="C3" s="4" t="s">
        <v>373</v>
      </c>
      <c r="D3" s="5">
        <v>10</v>
      </c>
      <c r="E3" s="4" t="s">
        <v>33</v>
      </c>
      <c r="F3" s="4">
        <v>1</v>
      </c>
      <c r="G3" s="4">
        <v>8</v>
      </c>
      <c r="H3" s="4"/>
      <c r="I3" s="4"/>
      <c r="J3" s="4"/>
      <c r="K3" s="4"/>
      <c r="L3" s="4"/>
      <c r="M3" s="4"/>
      <c r="N3" s="4"/>
      <c r="O3" s="4"/>
      <c r="P3" s="4"/>
      <c r="Q3" s="4"/>
      <c r="R3" s="4"/>
      <c r="S3" s="4"/>
      <c r="T3" s="4"/>
      <c r="U3" s="4"/>
      <c r="V3" s="4"/>
      <c r="W3" s="4"/>
      <c r="X3" s="4"/>
      <c r="Y3" s="4"/>
      <c r="Z3" s="4"/>
      <c r="AA3" s="4"/>
    </row>
    <row r="4" spans="1:27" ht="15.75" customHeight="1" x14ac:dyDescent="0.25">
      <c r="A4" s="4" t="s">
        <v>371</v>
      </c>
      <c r="B4" s="4" t="s">
        <v>372</v>
      </c>
      <c r="C4" s="4" t="s">
        <v>373</v>
      </c>
      <c r="D4" s="5">
        <v>10</v>
      </c>
      <c r="E4" s="4" t="s">
        <v>374</v>
      </c>
      <c r="F4" s="4">
        <v>21</v>
      </c>
      <c r="G4" s="4">
        <v>101</v>
      </c>
      <c r="H4" s="4"/>
      <c r="I4" s="4"/>
      <c r="K4" s="4"/>
      <c r="L4" s="4"/>
      <c r="M4" s="4"/>
      <c r="N4" s="4"/>
      <c r="O4" s="4"/>
      <c r="P4" s="4"/>
      <c r="Q4" s="4"/>
      <c r="R4" s="4"/>
      <c r="S4" s="4"/>
      <c r="T4" s="4"/>
      <c r="U4" s="4"/>
      <c r="V4" s="4"/>
      <c r="W4" s="4"/>
      <c r="X4" s="4"/>
      <c r="Y4" s="4"/>
      <c r="Z4" s="4"/>
      <c r="AA4" s="4"/>
    </row>
    <row r="5" spans="1:27" ht="15.75" customHeight="1" x14ac:dyDescent="0.25">
      <c r="A5" s="1" t="s">
        <v>371</v>
      </c>
      <c r="B5" s="1" t="s">
        <v>372</v>
      </c>
      <c r="C5" s="1" t="s">
        <v>375</v>
      </c>
      <c r="D5" s="1">
        <v>10</v>
      </c>
      <c r="E5" s="1" t="s">
        <v>20</v>
      </c>
      <c r="F5" s="1">
        <v>1816</v>
      </c>
      <c r="G5" s="1">
        <v>6952</v>
      </c>
    </row>
    <row r="6" spans="1:27" ht="15.75" customHeight="1" x14ac:dyDescent="0.25">
      <c r="A6" s="1" t="s">
        <v>371</v>
      </c>
      <c r="B6" s="1" t="s">
        <v>372</v>
      </c>
      <c r="C6" s="1" t="s">
        <v>375</v>
      </c>
      <c r="D6" s="1">
        <v>10</v>
      </c>
      <c r="E6" s="4" t="s">
        <v>33</v>
      </c>
      <c r="F6" s="1">
        <v>21</v>
      </c>
      <c r="G6" s="1">
        <v>33</v>
      </c>
    </row>
    <row r="7" spans="1:27" ht="15.75" customHeight="1" x14ac:dyDescent="0.25">
      <c r="A7" s="1" t="s">
        <v>371</v>
      </c>
      <c r="B7" s="1" t="s">
        <v>372</v>
      </c>
      <c r="C7" s="1" t="s">
        <v>375</v>
      </c>
      <c r="D7" s="1">
        <v>10</v>
      </c>
      <c r="E7" s="4" t="s">
        <v>374</v>
      </c>
      <c r="F7" s="1">
        <v>435</v>
      </c>
      <c r="G7" s="1">
        <v>896</v>
      </c>
    </row>
    <row r="8" spans="1:27" ht="15.75" customHeight="1" x14ac:dyDescent="0.25">
      <c r="A8" s="1" t="s">
        <v>371</v>
      </c>
      <c r="B8" s="1" t="s">
        <v>376</v>
      </c>
      <c r="C8" s="1" t="s">
        <v>377</v>
      </c>
      <c r="D8" s="1">
        <v>10</v>
      </c>
      <c r="E8" s="1" t="s">
        <v>20</v>
      </c>
      <c r="F8" s="1">
        <v>2104</v>
      </c>
      <c r="G8" s="1">
        <v>7868</v>
      </c>
    </row>
    <row r="9" spans="1:27" ht="15.75" customHeight="1" x14ac:dyDescent="0.25">
      <c r="A9" s="1" t="s">
        <v>371</v>
      </c>
      <c r="B9" s="1" t="s">
        <v>376</v>
      </c>
      <c r="C9" s="1" t="s">
        <v>377</v>
      </c>
      <c r="D9" s="1">
        <v>10</v>
      </c>
      <c r="E9" s="1" t="s">
        <v>33</v>
      </c>
      <c r="F9" s="1">
        <v>158</v>
      </c>
      <c r="G9" s="1">
        <v>201</v>
      </c>
    </row>
    <row r="10" spans="1:27" ht="15.75" customHeight="1" x14ac:dyDescent="0.25">
      <c r="A10" s="1" t="s">
        <v>371</v>
      </c>
      <c r="B10" s="1" t="s">
        <v>376</v>
      </c>
      <c r="C10" s="1" t="s">
        <v>377</v>
      </c>
      <c r="D10" s="1">
        <v>10</v>
      </c>
      <c r="E10" s="1" t="s">
        <v>374</v>
      </c>
      <c r="F10" s="1">
        <v>0</v>
      </c>
      <c r="G10" s="1">
        <v>0</v>
      </c>
    </row>
    <row r="11" spans="1:27" ht="15.75" customHeight="1" x14ac:dyDescent="0.25">
      <c r="A11" s="1" t="s">
        <v>371</v>
      </c>
      <c r="B11" s="1" t="s">
        <v>378</v>
      </c>
      <c r="C11" s="1" t="s">
        <v>373</v>
      </c>
      <c r="D11" s="1">
        <v>1</v>
      </c>
      <c r="E11" s="1" t="s">
        <v>20</v>
      </c>
      <c r="F11" s="1">
        <v>164</v>
      </c>
      <c r="G11" s="1">
        <v>802</v>
      </c>
    </row>
    <row r="12" spans="1:27" ht="15.75" customHeight="1" x14ac:dyDescent="0.25">
      <c r="A12" s="1" t="s">
        <v>371</v>
      </c>
      <c r="B12" s="1" t="s">
        <v>378</v>
      </c>
      <c r="C12" s="1" t="s">
        <v>373</v>
      </c>
      <c r="D12" s="1">
        <v>1</v>
      </c>
      <c r="E12" s="1" t="s">
        <v>33</v>
      </c>
      <c r="F12" s="1">
        <v>2</v>
      </c>
      <c r="G12" s="1">
        <v>8</v>
      </c>
    </row>
    <row r="13" spans="1:27" ht="15.75" customHeight="1" x14ac:dyDescent="0.25">
      <c r="A13" s="1" t="s">
        <v>371</v>
      </c>
      <c r="B13" s="1" t="s">
        <v>378</v>
      </c>
      <c r="C13" s="1" t="s">
        <v>373</v>
      </c>
      <c r="D13" s="1">
        <v>1</v>
      </c>
      <c r="E13" s="1" t="s">
        <v>374</v>
      </c>
      <c r="F13" s="1">
        <v>48</v>
      </c>
      <c r="G13" s="1">
        <v>94</v>
      </c>
    </row>
    <row r="14" spans="1:27" ht="15.75" customHeight="1" x14ac:dyDescent="0.25">
      <c r="A14" s="1" t="s">
        <v>371</v>
      </c>
      <c r="B14" s="1" t="s">
        <v>379</v>
      </c>
      <c r="C14" s="1" t="s">
        <v>375</v>
      </c>
      <c r="D14" s="1">
        <v>1</v>
      </c>
      <c r="E14" s="1" t="s">
        <v>20</v>
      </c>
      <c r="F14" s="1">
        <v>162</v>
      </c>
      <c r="G14" s="1">
        <v>784</v>
      </c>
    </row>
    <row r="15" spans="1:27" ht="15.75" customHeight="1" x14ac:dyDescent="0.25">
      <c r="A15" s="1" t="s">
        <v>371</v>
      </c>
      <c r="B15" s="1" t="s">
        <v>379</v>
      </c>
      <c r="C15" s="1" t="s">
        <v>375</v>
      </c>
      <c r="D15" s="1">
        <v>1</v>
      </c>
      <c r="E15" s="1" t="s">
        <v>33</v>
      </c>
      <c r="F15" s="1">
        <v>1</v>
      </c>
      <c r="G15" s="1">
        <v>6</v>
      </c>
    </row>
    <row r="16" spans="1:27" ht="15.75" customHeight="1" x14ac:dyDescent="0.25">
      <c r="A16" s="1" t="s">
        <v>371</v>
      </c>
      <c r="B16" s="1" t="s">
        <v>379</v>
      </c>
      <c r="C16" s="1" t="s">
        <v>375</v>
      </c>
      <c r="D16" s="1">
        <v>1</v>
      </c>
      <c r="E16" s="1" t="s">
        <v>374</v>
      </c>
      <c r="F16" s="1">
        <v>49</v>
      </c>
      <c r="G16" s="1">
        <v>103</v>
      </c>
    </row>
    <row r="17" spans="1:7" ht="15.75" customHeight="1" x14ac:dyDescent="0.25">
      <c r="A17" s="1" t="s">
        <v>371</v>
      </c>
      <c r="B17" s="1" t="s">
        <v>380</v>
      </c>
      <c r="C17" s="1" t="s">
        <v>373</v>
      </c>
      <c r="D17" s="1">
        <v>5</v>
      </c>
      <c r="E17" s="1" t="s">
        <v>20</v>
      </c>
      <c r="F17" s="1">
        <v>90</v>
      </c>
      <c r="G17" s="1">
        <v>832</v>
      </c>
    </row>
    <row r="18" spans="1:7" ht="15.75" customHeight="1" x14ac:dyDescent="0.25">
      <c r="A18" s="1" t="s">
        <v>371</v>
      </c>
      <c r="B18" s="1" t="s">
        <v>380</v>
      </c>
      <c r="C18" s="1" t="s">
        <v>373</v>
      </c>
      <c r="D18" s="1">
        <v>5</v>
      </c>
      <c r="E18" s="1" t="s">
        <v>33</v>
      </c>
      <c r="F18" s="1">
        <v>2</v>
      </c>
      <c r="G18" s="1">
        <v>8</v>
      </c>
    </row>
    <row r="19" spans="1:7" ht="15.75" customHeight="1" x14ac:dyDescent="0.25">
      <c r="A19" s="1" t="s">
        <v>371</v>
      </c>
      <c r="B19" s="1" t="s">
        <v>380</v>
      </c>
      <c r="C19" s="1" t="s">
        <v>373</v>
      </c>
      <c r="D19" s="1">
        <v>5</v>
      </c>
      <c r="E19" s="1" t="s">
        <v>374</v>
      </c>
      <c r="F19" s="1">
        <v>20</v>
      </c>
      <c r="G19" s="1">
        <v>114</v>
      </c>
    </row>
    <row r="20" spans="1:7" ht="12.5" x14ac:dyDescent="0.25">
      <c r="A20" s="1" t="s">
        <v>371</v>
      </c>
      <c r="B20" s="1" t="s">
        <v>381</v>
      </c>
      <c r="C20" s="1" t="s">
        <v>375</v>
      </c>
      <c r="D20" s="1">
        <v>5</v>
      </c>
      <c r="E20" s="1" t="s">
        <v>20</v>
      </c>
      <c r="F20" s="1">
        <v>852</v>
      </c>
      <c r="G20" s="1">
        <v>3825</v>
      </c>
    </row>
    <row r="21" spans="1:7" ht="12.5" x14ac:dyDescent="0.25">
      <c r="A21" s="1" t="s">
        <v>371</v>
      </c>
      <c r="B21" s="1" t="s">
        <v>381</v>
      </c>
      <c r="C21" s="1" t="s">
        <v>375</v>
      </c>
      <c r="D21" s="1">
        <v>5</v>
      </c>
      <c r="E21" s="1" t="s">
        <v>33</v>
      </c>
      <c r="F21" s="1">
        <v>4</v>
      </c>
      <c r="G21" s="1">
        <v>13</v>
      </c>
    </row>
    <row r="22" spans="1:7" ht="12.5" x14ac:dyDescent="0.25">
      <c r="A22" s="1" t="s">
        <v>371</v>
      </c>
      <c r="B22" s="1" t="s">
        <v>381</v>
      </c>
      <c r="C22" s="1" t="s">
        <v>375</v>
      </c>
      <c r="D22" s="1">
        <v>5</v>
      </c>
      <c r="E22" s="1" t="s">
        <v>374</v>
      </c>
      <c r="F22" s="1">
        <v>259</v>
      </c>
      <c r="G22" s="1">
        <v>546</v>
      </c>
    </row>
    <row r="23" spans="1:7" ht="12.5" x14ac:dyDescent="0.25">
      <c r="A23" s="1" t="s">
        <v>371</v>
      </c>
      <c r="B23" s="1" t="s">
        <v>381</v>
      </c>
      <c r="C23" s="1" t="s">
        <v>373</v>
      </c>
      <c r="D23" s="1">
        <v>9999</v>
      </c>
      <c r="E23" s="1" t="s">
        <v>20</v>
      </c>
      <c r="F23" s="1">
        <v>103</v>
      </c>
      <c r="G23" s="1">
        <v>852</v>
      </c>
    </row>
    <row r="24" spans="1:7" ht="12.5" x14ac:dyDescent="0.25">
      <c r="A24" s="1" t="s">
        <v>371</v>
      </c>
      <c r="B24" s="1" t="s">
        <v>381</v>
      </c>
      <c r="C24" s="1" t="s">
        <v>373</v>
      </c>
      <c r="D24" s="1">
        <v>9999</v>
      </c>
      <c r="E24" s="1" t="s">
        <v>33</v>
      </c>
      <c r="F24" s="1">
        <v>0</v>
      </c>
      <c r="G24" s="1">
        <v>1</v>
      </c>
    </row>
    <row r="25" spans="1:7" ht="12.5" x14ac:dyDescent="0.25">
      <c r="A25" s="1" t="s">
        <v>371</v>
      </c>
      <c r="B25" s="1" t="s">
        <v>381</v>
      </c>
      <c r="C25" s="1" t="s">
        <v>373</v>
      </c>
      <c r="D25" s="1">
        <v>9999</v>
      </c>
      <c r="E25" s="1" t="s">
        <v>374</v>
      </c>
      <c r="F25" s="1">
        <v>35</v>
      </c>
      <c r="G25" s="1">
        <v>114</v>
      </c>
    </row>
    <row r="26" spans="1:7" ht="12.5" x14ac:dyDescent="0.25">
      <c r="A26" s="1" t="s">
        <v>371</v>
      </c>
      <c r="B26" s="1" t="s">
        <v>382</v>
      </c>
      <c r="C26" s="1" t="s">
        <v>375</v>
      </c>
      <c r="D26" s="1">
        <v>9999</v>
      </c>
      <c r="E26" s="1" t="s">
        <v>20</v>
      </c>
      <c r="F26" s="1">
        <v>631</v>
      </c>
      <c r="G26" s="1">
        <v>3476</v>
      </c>
    </row>
    <row r="27" spans="1:7" ht="12.5" x14ac:dyDescent="0.25">
      <c r="A27" s="1" t="s">
        <v>371</v>
      </c>
      <c r="B27" s="1" t="s">
        <v>382</v>
      </c>
      <c r="C27" s="1" t="s">
        <v>375</v>
      </c>
      <c r="D27" s="1">
        <v>9999</v>
      </c>
      <c r="E27" s="1" t="s">
        <v>33</v>
      </c>
      <c r="F27" s="1">
        <v>0</v>
      </c>
      <c r="G27" s="1">
        <v>6</v>
      </c>
    </row>
    <row r="28" spans="1:7" ht="12.5" x14ac:dyDescent="0.25">
      <c r="A28" s="1" t="s">
        <v>371</v>
      </c>
      <c r="B28" s="1" t="s">
        <v>382</v>
      </c>
      <c r="C28" s="1" t="s">
        <v>375</v>
      </c>
      <c r="D28" s="1">
        <v>9999</v>
      </c>
      <c r="E28" s="1" t="s">
        <v>374</v>
      </c>
      <c r="F28" s="1">
        <v>224</v>
      </c>
      <c r="G28" s="1">
        <v>486</v>
      </c>
    </row>
    <row r="29" spans="1:7" ht="12.5" x14ac:dyDescent="0.25">
      <c r="A29" s="1" t="s">
        <v>371</v>
      </c>
      <c r="B29" s="1" t="s">
        <v>383</v>
      </c>
      <c r="C29" s="1" t="s">
        <v>384</v>
      </c>
      <c r="D29" s="1">
        <v>9999</v>
      </c>
      <c r="E29" s="1" t="s">
        <v>20</v>
      </c>
      <c r="F29" s="1">
        <v>140</v>
      </c>
      <c r="G29" s="1">
        <v>970</v>
      </c>
    </row>
    <row r="30" spans="1:7" ht="12.5" x14ac:dyDescent="0.25">
      <c r="A30" s="1" t="s">
        <v>371</v>
      </c>
      <c r="B30" s="1" t="s">
        <v>383</v>
      </c>
      <c r="C30" s="1" t="s">
        <v>384</v>
      </c>
      <c r="D30" s="1">
        <v>9999</v>
      </c>
      <c r="E30" s="1" t="s">
        <v>33</v>
      </c>
      <c r="F30" s="1">
        <v>0</v>
      </c>
      <c r="G30" s="1">
        <v>8</v>
      </c>
    </row>
    <row r="31" spans="1:7" ht="12.5" x14ac:dyDescent="0.25">
      <c r="A31" s="1" t="s">
        <v>371</v>
      </c>
      <c r="B31" s="1" t="s">
        <v>383</v>
      </c>
      <c r="C31" s="1" t="s">
        <v>384</v>
      </c>
      <c r="D31" s="1">
        <v>9999</v>
      </c>
      <c r="E31" s="1" t="s">
        <v>374</v>
      </c>
      <c r="F31" s="1">
        <v>0</v>
      </c>
      <c r="G31" s="1">
        <v>0</v>
      </c>
    </row>
    <row r="32" spans="1:7" ht="12.5" x14ac:dyDescent="0.25">
      <c r="A32" s="1" t="s">
        <v>371</v>
      </c>
      <c r="B32" s="1" t="s">
        <v>385</v>
      </c>
      <c r="C32" s="1" t="s">
        <v>377</v>
      </c>
      <c r="D32" s="1">
        <v>9999</v>
      </c>
      <c r="E32" s="1" t="s">
        <v>20</v>
      </c>
      <c r="F32" s="1">
        <v>837</v>
      </c>
      <c r="G32" s="1">
        <v>4008</v>
      </c>
    </row>
    <row r="33" spans="1:7" ht="12.5" x14ac:dyDescent="0.25">
      <c r="A33" s="1" t="s">
        <v>371</v>
      </c>
      <c r="B33" s="1" t="s">
        <v>385</v>
      </c>
      <c r="C33" s="1" t="s">
        <v>377</v>
      </c>
      <c r="D33" s="1">
        <v>9999</v>
      </c>
      <c r="E33" s="1" t="s">
        <v>33</v>
      </c>
      <c r="F33" s="1">
        <v>24</v>
      </c>
      <c r="G33" s="1">
        <v>32</v>
      </c>
    </row>
    <row r="34" spans="1:7" ht="12.5" x14ac:dyDescent="0.25">
      <c r="A34" s="1" t="s">
        <v>371</v>
      </c>
      <c r="B34" s="1" t="s">
        <v>385</v>
      </c>
      <c r="C34" s="1" t="s">
        <v>377</v>
      </c>
      <c r="D34" s="1">
        <v>9999</v>
      </c>
      <c r="E34" s="1" t="s">
        <v>374</v>
      </c>
      <c r="F34" s="1">
        <v>0</v>
      </c>
      <c r="G34"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mismatches_with_annotations_gpt</vt:lpstr>
      <vt:lpstr>criteria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Aml Hassan</dc:creator>
  <cp:lastModifiedBy>Aml Hassan</cp:lastModifiedBy>
  <dcterms:created xsi:type="dcterms:W3CDTF">2026-04-05T14:04:01Z</dcterms:created>
  <dcterms:modified xsi:type="dcterms:W3CDTF">2026-04-30T09:15:01Z</dcterms:modified>
</cp:coreProperties>
</file>